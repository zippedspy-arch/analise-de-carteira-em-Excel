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thur rinco\Downloads\"/>
    </mc:Choice>
  </mc:AlternateContent>
  <xr:revisionPtr revIDLastSave="0" documentId="13_ncr:1_{BB39D831-2365-4B8C-A782-C73729E80D3B}" xr6:coauthVersionLast="47" xr6:coauthVersionMax="47" xr10:uidLastSave="{00000000-0000-0000-0000-000000000000}"/>
  <bookViews>
    <workbookView xWindow="-120" yWindow="-120" windowWidth="29040" windowHeight="15720" xr2:uid="{A5C8AC6D-B7BB-45C7-B1F9-9602F7045977}"/>
  </bookViews>
  <sheets>
    <sheet name="Dados Históricos" sheetId="1" r:id="rId1"/>
    <sheet name="RETORNOS" sheetId="2" r:id="rId2"/>
    <sheet name="MODELAGEM" sheetId="3" r:id="rId3"/>
    <sheet name="RELATÓRIO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3" l="1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C21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3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4" i="2"/>
  <c r="C3" i="2"/>
  <c r="C6" i="3" l="1"/>
  <c r="F7" i="3" s="1"/>
  <c r="C7" i="3"/>
  <c r="G7" i="3" s="1"/>
  <c r="C9" i="3"/>
  <c r="G8" i="3" s="1"/>
  <c r="C10" i="3"/>
  <c r="C8" i="3"/>
  <c r="F8" i="3" s="1"/>
  <c r="F2" i="2"/>
  <c r="G2" i="2" s="1"/>
  <c r="H2" i="2"/>
  <c r="T2" i="2"/>
  <c r="R2" i="2"/>
  <c r="D2" i="2"/>
  <c r="P2" i="2"/>
  <c r="L21" i="3" l="1"/>
  <c r="M13" i="3"/>
  <c r="N13" i="3" s="1"/>
  <c r="L10" i="3"/>
  <c r="L24" i="3"/>
  <c r="M17" i="3"/>
  <c r="N17" i="3" s="1"/>
  <c r="L8" i="3"/>
  <c r="M20" i="3"/>
  <c r="N20" i="3" s="1"/>
  <c r="M25" i="3"/>
  <c r="N25" i="3" s="1"/>
  <c r="L12" i="3"/>
  <c r="M14" i="3"/>
  <c r="N14" i="3" s="1"/>
  <c r="L16" i="3"/>
  <c r="L18" i="3"/>
  <c r="M21" i="3"/>
  <c r="N21" i="3" s="1"/>
  <c r="L6" i="3"/>
  <c r="L22" i="3"/>
  <c r="M11" i="3"/>
  <c r="N11" i="3" s="1"/>
  <c r="M18" i="3"/>
  <c r="N18" i="3" s="1"/>
  <c r="M10" i="3"/>
  <c r="N10" i="3" s="1"/>
  <c r="M6" i="3"/>
  <c r="N6" i="3" s="1"/>
  <c r="M22" i="3"/>
  <c r="N22" i="3" s="1"/>
  <c r="L5" i="3"/>
  <c r="L7" i="3"/>
  <c r="K31" i="3" s="1"/>
  <c r="H7" i="3" s="1"/>
  <c r="L11" i="3"/>
  <c r="M7" i="3"/>
  <c r="N7" i="3" s="1"/>
  <c r="L19" i="3"/>
  <c r="L20" i="3"/>
  <c r="L23" i="3"/>
  <c r="M24" i="3"/>
  <c r="N24" i="3" s="1"/>
  <c r="L13" i="3"/>
  <c r="L25" i="3"/>
  <c r="M23" i="3"/>
  <c r="N23" i="3" s="1"/>
  <c r="M5" i="3"/>
  <c r="N5" i="3" s="1"/>
  <c r="M19" i="3"/>
  <c r="N19" i="3" s="1"/>
  <c r="M8" i="3"/>
  <c r="N8" i="3" s="1"/>
  <c r="L14" i="3"/>
  <c r="L15" i="3"/>
  <c r="M16" i="3"/>
  <c r="N16" i="3" s="1"/>
  <c r="M12" i="3"/>
  <c r="N12" i="3" s="1"/>
  <c r="M15" i="3"/>
  <c r="N15" i="3" s="1"/>
  <c r="L17" i="3"/>
  <c r="L9" i="3"/>
  <c r="M9" i="3"/>
  <c r="N9" i="3" s="1"/>
  <c r="Q2" i="2"/>
  <c r="E2" i="2"/>
  <c r="S2" i="2"/>
  <c r="L2" i="2"/>
  <c r="K2" i="2"/>
  <c r="J2" i="2"/>
  <c r="K33" i="3" l="1"/>
  <c r="K30" i="3"/>
  <c r="H8" i="3" s="1"/>
  <c r="K32" i="3"/>
</calcChain>
</file>

<file path=xl/sharedStrings.xml><?xml version="1.0" encoding="utf-8"?>
<sst xmlns="http://schemas.openxmlformats.org/spreadsheetml/2006/main" count="63" uniqueCount="46">
  <si>
    <t>BOVA11</t>
  </si>
  <si>
    <t>Data</t>
  </si>
  <si>
    <t>VOLATILIDADE MENSAL</t>
  </si>
  <si>
    <t>VOLATILIDADE ANUAL</t>
  </si>
  <si>
    <t>VaR 95%</t>
  </si>
  <si>
    <t>COVARIÂNCIA</t>
  </si>
  <si>
    <t>CORRELAÇÃO</t>
  </si>
  <si>
    <t>Beta &lt;1 = menos volatil que mercado</t>
  </si>
  <si>
    <t>Cov mensal</t>
  </si>
  <si>
    <t>Volatilidade da carteira</t>
  </si>
  <si>
    <t>Variância da carteira</t>
  </si>
  <si>
    <t>Mínima variância</t>
  </si>
  <si>
    <t>Volatilidade</t>
  </si>
  <si>
    <t>Retorno</t>
  </si>
  <si>
    <t>Métrica</t>
  </si>
  <si>
    <t>PETR4</t>
  </si>
  <si>
    <t>Carteira Mínima</t>
  </si>
  <si>
    <t>Retorno Mensal</t>
  </si>
  <si>
    <t>Volatilidade Mensal</t>
  </si>
  <si>
    <t>Int</t>
  </si>
  <si>
    <t>Carteira de Mínima Variância</t>
  </si>
  <si>
    <t xml:space="preserve">MÉDIA </t>
  </si>
  <si>
    <t>RETORNO</t>
  </si>
  <si>
    <t xml:space="preserve">RETORNO ANUAL </t>
  </si>
  <si>
    <t xml:space="preserve">Beta </t>
  </si>
  <si>
    <t xml:space="preserve">RETORNO </t>
  </si>
  <si>
    <t>RETORNO ANUAL</t>
  </si>
  <si>
    <t>Procedimentos Realizados</t>
  </si>
  <si>
    <t>Foram utilizados dados históricos mensais dos ativos PETR4 e BOVA11. A partir dos preços, foram calculados os retornos mensais, bem como as métricas estatísticas necessárias para a análise de risco, incluindo retorno médio, volatilidade, covariância e correlação.
Em seguida, aplicou-se a Teoria Média-Variância de Markowitz para simular diferentes combinações de pesos entre os ativos, possibilitando a construção da fronteira eficiente.</t>
  </si>
  <si>
    <t>Resultados Obtidos</t>
  </si>
  <si>
    <t>A PETR4 apresentou retorno médio mensal de 2,71% e volatilidade de 8,60%.</t>
  </si>
  <si>
    <t>O BOVA11 apresentou retorno médio mensal de 0,98% e volatilidade de 5,03%.</t>
  </si>
  <si>
    <t>A carteira de mínima variância foi identificada com composição de 10% em PETR4 e 90% em BOVA11, apresentando retorno mensal de 1,15% e volatilidade de 4,96%</t>
  </si>
  <si>
    <t>Conclusões</t>
  </si>
  <si>
    <t>A correlação entre os ativos foi de aproximadamente 0,43, indicando correlação moderada e, portanto, possibilidade de redução de risco por meio da diversificação.</t>
  </si>
  <si>
    <t>A modelagem evidenciou que a combinação eficiente entre os ativos reduziu a volatilidade total da carteira em relação aos ativos analisados individualmente. A diversificação mostrou-se eficaz devido à correlação moderada entre os ativos, evidenciando a importância da alocação estratégica na gestão de portfólio.</t>
  </si>
  <si>
    <t>Análise de Risco e Otimização de Carteira – Abordagem de Markowitz</t>
  </si>
  <si>
    <t>Observa-se que a carteira de mínima variância apresentou volatilidade inferior à do ativo menos volátil isoladamente (BOVA11), evidenciando ganho real de diversificação.</t>
  </si>
  <si>
    <t>retorno médio mensal</t>
  </si>
  <si>
    <t>volatilidade mensal</t>
  </si>
  <si>
    <t>Simulação de Combinações de Carteira - Retorno e Risco</t>
  </si>
  <si>
    <t>Peso PETR4 (%)</t>
  </si>
  <si>
    <t>Peso BOVA11 (%)</t>
  </si>
  <si>
    <t>Retorno esperado da carteira</t>
  </si>
  <si>
    <t>Dados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</si>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</sst>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.00000"/>
    <numFmt numFmtId="165" formatCode="0.0000%"/>
    <numFmt numFmtId="166" formatCode="0.000000"/>
    <numFmt numFmtId="167" formatCode="0.00000%"/>
    <numFmt numFmtId="168" formatCode="0.000000%"/>
    <numFmt numFmtId="169" formatCode="_-[$R$-416]\ * #,##0.00_-;\-[$R$-416]\ * #,##0.00_-;_-[$R$-416]\ * &quot;-&quot;??_-;_-@_-"/>
    <numFmt numFmtId="170" formatCode="0.000%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scheme val="minor"/>
    </font>
    <font>
      <b/>
      <sz val="2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7">
    <xf numFmtId="0" fontId="0" fillId="0" borderId="0" xfId="0"/>
    <xf numFmtId="10" fontId="0" fillId="0" borderId="0" xfId="1" applyNumberFormat="1" applyFont="1"/>
    <xf numFmtId="165" fontId="0" fillId="0" borderId="0" xfId="1" applyNumberFormat="1" applyFont="1"/>
    <xf numFmtId="167" fontId="0" fillId="0" borderId="0" xfId="1" applyNumberFormat="1" applyFont="1"/>
    <xf numFmtId="0" fontId="0" fillId="33" borderId="0" xfId="0" applyFill="1"/>
    <xf numFmtId="0" fontId="0" fillId="0" borderId="11" xfId="0" applyBorder="1"/>
    <xf numFmtId="0" fontId="0" fillId="33" borderId="16" xfId="0" applyFill="1" applyBorder="1"/>
    <xf numFmtId="0" fontId="0" fillId="33" borderId="21" xfId="0" applyFill="1" applyBorder="1"/>
    <xf numFmtId="0" fontId="0" fillId="33" borderId="14" xfId="0" applyFill="1" applyBorder="1"/>
    <xf numFmtId="0" fontId="0" fillId="33" borderId="12" xfId="0" applyFill="1" applyBorder="1"/>
    <xf numFmtId="14" fontId="0" fillId="0" borderId="0" xfId="0" applyNumberFormat="1"/>
    <xf numFmtId="169" fontId="0" fillId="35" borderId="0" xfId="0" applyNumberFormat="1" applyFill="1"/>
    <xf numFmtId="169" fontId="0" fillId="37" borderId="0" xfId="0" applyNumberFormat="1" applyFill="1"/>
    <xf numFmtId="0" fontId="0" fillId="37" borderId="0" xfId="0" applyFill="1"/>
    <xf numFmtId="168" fontId="0" fillId="37" borderId="11" xfId="0" applyNumberFormat="1" applyFill="1" applyBorder="1"/>
    <xf numFmtId="9" fontId="0" fillId="37" borderId="11" xfId="1" applyFont="1" applyFill="1" applyBorder="1"/>
    <xf numFmtId="165" fontId="0" fillId="35" borderId="11" xfId="0" applyNumberFormat="1" applyFill="1" applyBorder="1"/>
    <xf numFmtId="9" fontId="0" fillId="35" borderId="10" xfId="1" applyFont="1" applyFill="1" applyBorder="1"/>
    <xf numFmtId="2" fontId="0" fillId="35" borderId="0" xfId="0" applyNumberFormat="1" applyFill="1" applyAlignment="1">
      <alignment horizontal="center"/>
    </xf>
    <xf numFmtId="165" fontId="0" fillId="35" borderId="0" xfId="1" applyNumberFormat="1" applyFont="1" applyFill="1" applyAlignment="1">
      <alignment horizontal="center"/>
    </xf>
    <xf numFmtId="166" fontId="0" fillId="35" borderId="0" xfId="0" applyNumberFormat="1" applyFill="1" applyAlignment="1">
      <alignment horizontal="center"/>
    </xf>
    <xf numFmtId="168" fontId="0" fillId="35" borderId="0" xfId="1" applyNumberFormat="1" applyFont="1" applyFill="1" applyAlignment="1">
      <alignment horizontal="center"/>
    </xf>
    <xf numFmtId="0" fontId="0" fillId="37" borderId="0" xfId="0" applyFill="1" applyAlignment="1">
      <alignment horizontal="center"/>
    </xf>
    <xf numFmtId="2" fontId="0" fillId="37" borderId="0" xfId="0" applyNumberFormat="1" applyFill="1" applyAlignment="1">
      <alignment horizontal="center"/>
    </xf>
    <xf numFmtId="165" fontId="0" fillId="37" borderId="0" xfId="1" applyNumberFormat="1" applyFont="1" applyFill="1" applyAlignment="1">
      <alignment horizontal="center"/>
    </xf>
    <xf numFmtId="166" fontId="0" fillId="37" borderId="0" xfId="0" applyNumberFormat="1" applyFill="1" applyAlignment="1">
      <alignment horizontal="center"/>
    </xf>
    <xf numFmtId="168" fontId="0" fillId="37" borderId="0" xfId="1" applyNumberFormat="1" applyFont="1" applyFill="1" applyAlignment="1">
      <alignment horizontal="center"/>
    </xf>
    <xf numFmtId="166" fontId="0" fillId="35" borderId="12" xfId="0" applyNumberFormat="1" applyFill="1" applyBorder="1" applyAlignment="1">
      <alignment horizontal="center"/>
    </xf>
    <xf numFmtId="165" fontId="0" fillId="37" borderId="12" xfId="1" applyNumberFormat="1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21" xfId="0" applyFill="1" applyBorder="1" applyAlignment="1">
      <alignment horizontal="center"/>
    </xf>
    <xf numFmtId="165" fontId="0" fillId="35" borderId="16" xfId="1" applyNumberFormat="1" applyFont="1" applyFill="1" applyBorder="1" applyAlignment="1">
      <alignment horizontal="center"/>
    </xf>
    <xf numFmtId="0" fontId="0" fillId="0" borderId="22" xfId="0" applyBorder="1"/>
    <xf numFmtId="170" fontId="0" fillId="37" borderId="11" xfId="0" applyNumberFormat="1" applyFill="1" applyBorder="1" applyAlignment="1">
      <alignment horizontal="center" vertical="center"/>
    </xf>
    <xf numFmtId="170" fontId="0" fillId="37" borderId="10" xfId="0" applyNumberFormat="1" applyFill="1" applyBorder="1" applyAlignment="1">
      <alignment horizontal="center" vertical="center"/>
    </xf>
    <xf numFmtId="170" fontId="0" fillId="35" borderId="0" xfId="0" applyNumberFormat="1" applyFill="1" applyAlignment="1">
      <alignment horizontal="center" vertical="center"/>
    </xf>
    <xf numFmtId="170" fontId="0" fillId="35" borderId="19" xfId="0" applyNumberFormat="1" applyFill="1" applyBorder="1" applyAlignment="1">
      <alignment horizontal="center" vertical="center"/>
    </xf>
    <xf numFmtId="170" fontId="0" fillId="37" borderId="15" xfId="0" applyNumberFormat="1" applyFill="1" applyBorder="1" applyAlignment="1">
      <alignment horizontal="center" vertical="center"/>
    </xf>
    <xf numFmtId="170" fontId="0" fillId="37" borderId="18" xfId="0" applyNumberFormat="1" applyFill="1" applyBorder="1" applyAlignment="1">
      <alignment horizontal="center" vertical="center"/>
    </xf>
    <xf numFmtId="0" fontId="23" fillId="35" borderId="0" xfId="0" applyFont="1" applyFill="1" applyAlignment="1">
      <alignment horizontal="center" vertical="center"/>
    </xf>
    <xf numFmtId="0" fontId="0" fillId="34" borderId="20" xfId="0" applyFill="1" applyBorder="1" applyAlignment="1">
      <alignment horizontal="center"/>
    </xf>
    <xf numFmtId="0" fontId="0" fillId="34" borderId="21" xfId="0" applyFill="1" applyBorder="1" applyAlignment="1">
      <alignment horizontal="center"/>
    </xf>
    <xf numFmtId="0" fontId="0" fillId="38" borderId="22" xfId="0" applyFill="1" applyBorder="1" applyAlignment="1">
      <alignment horizontal="center" wrapText="1"/>
    </xf>
    <xf numFmtId="0" fontId="0" fillId="38" borderId="10" xfId="0" applyFill="1" applyBorder="1" applyAlignment="1">
      <alignment horizontal="center" wrapText="1"/>
    </xf>
    <xf numFmtId="0" fontId="0" fillId="38" borderId="13" xfId="0" applyFill="1" applyBorder="1" applyAlignment="1">
      <alignment horizontal="center" wrapText="1"/>
    </xf>
    <xf numFmtId="0" fontId="0" fillId="38" borderId="12" xfId="0" applyFill="1" applyBorder="1" applyAlignment="1">
      <alignment horizontal="center" wrapText="1"/>
    </xf>
    <xf numFmtId="0" fontId="24" fillId="38" borderId="0" xfId="0" applyFont="1" applyFill="1" applyAlignment="1">
      <alignment horizontal="center" vertical="center" wrapText="1"/>
    </xf>
    <xf numFmtId="0" fontId="0" fillId="38" borderId="20" xfId="0" applyFill="1" applyBorder="1" applyAlignment="1">
      <alignment horizontal="center"/>
    </xf>
    <xf numFmtId="0" fontId="0" fillId="38" borderId="23" xfId="0" applyFill="1" applyBorder="1" applyAlignment="1">
      <alignment horizontal="center"/>
    </xf>
    <xf numFmtId="0" fontId="0" fillId="38" borderId="21" xfId="0" applyFill="1" applyBorder="1" applyAlignment="1">
      <alignment horizontal="center"/>
    </xf>
    <xf numFmtId="0" fontId="18" fillId="35" borderId="13" xfId="0" applyFont="1" applyFill="1" applyBorder="1" applyAlignment="1">
      <alignment horizontal="center" vertical="center" wrapText="1"/>
    </xf>
    <xf numFmtId="0" fontId="18" fillId="35" borderId="14" xfId="0" applyFont="1" applyFill="1" applyBorder="1" applyAlignment="1">
      <alignment horizontal="center" vertical="center" wrapText="1"/>
    </xf>
    <xf numFmtId="0" fontId="18" fillId="35" borderId="12" xfId="0" applyFont="1" applyFill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center" vertical="center" wrapText="1"/>
    </xf>
    <xf numFmtId="0" fontId="21" fillId="33" borderId="15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2" fillId="36" borderId="18" xfId="0" applyFont="1" applyFill="1" applyBorder="1" applyAlignment="1">
      <alignment horizontal="center" vertical="center" wrapText="1"/>
    </xf>
    <xf numFmtId="0" fontId="22" fillId="36" borderId="10" xfId="0" applyFont="1" applyFill="1" applyBorder="1" applyAlignment="1">
      <alignment horizontal="center" vertical="center" wrapText="1"/>
    </xf>
    <xf numFmtId="0" fontId="0" fillId="35" borderId="14" xfId="0" applyFill="1" applyBorder="1" applyAlignment="1">
      <alignment horizontal="center" vertical="center" wrapText="1"/>
    </xf>
    <xf numFmtId="0" fontId="0" fillId="35" borderId="12" xfId="0" applyFill="1" applyBorder="1" applyAlignment="1">
      <alignment horizontal="center" vertical="center" wrapText="1"/>
    </xf>
    <xf numFmtId="0" fontId="0" fillId="37" borderId="17" xfId="0" applyFill="1" applyBorder="1" applyAlignment="1">
      <alignment horizontal="center" vertical="center" wrapText="1"/>
    </xf>
    <xf numFmtId="0" fontId="0" fillId="37" borderId="15" xfId="0" applyFill="1" applyBorder="1" applyAlignment="1">
      <alignment horizontal="center" vertical="center" wrapText="1"/>
    </xf>
    <xf numFmtId="0" fontId="0" fillId="35" borderId="15" xfId="0" applyFill="1" applyBorder="1" applyAlignment="1">
      <alignment horizontal="center" vertical="center" wrapText="1"/>
    </xf>
    <xf numFmtId="0" fontId="0" fillId="37" borderId="18" xfId="0" applyFill="1" applyBorder="1" applyAlignment="1">
      <alignment horizontal="center" vertical="center" wrapText="1"/>
    </xf>
    <xf numFmtId="166" fontId="0" fillId="35" borderId="0" xfId="0" applyNumberFormat="1" applyFill="1" applyAlignment="1">
      <alignment horizontal="center" vertical="center"/>
    </xf>
    <xf numFmtId="0" fontId="0" fillId="35" borderId="0" xfId="0" applyFill="1" applyAlignment="1">
      <alignment horizontal="center"/>
    </xf>
    <xf numFmtId="164" fontId="0" fillId="37" borderId="0" xfId="0" applyNumberFormat="1" applyFill="1" applyAlignment="1">
      <alignment horizontal="center"/>
    </xf>
    <xf numFmtId="164" fontId="0" fillId="35" borderId="0" xfId="0" applyNumberFormat="1" applyFill="1" applyAlignment="1">
      <alignment horizontal="center"/>
    </xf>
    <xf numFmtId="169" fontId="0" fillId="35" borderId="0" xfId="0" applyNumberFormat="1" applyFill="1" applyAlignment="1">
      <alignment horizontal="center"/>
    </xf>
    <xf numFmtId="169" fontId="0" fillId="3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9">
    <dxf>
      <alignment horizontal="center" vertical="bottom" textRotation="0" wrapText="0" indent="0" justifyLastLine="0" shrinkToFit="0" readingOrder="0"/>
    </dxf>
    <dxf>
      <numFmt numFmtId="169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171" formatCode="m/d/yyyy"/>
      <alignment horizontal="center" vertical="bottom" textRotation="0" wrapText="0" indent="0" justifyLastLine="0" shrinkToFit="0" readingOrder="0"/>
    </dxf>
    <dxf>
      <numFmt numFmtId="169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171" formatCode="m/d/yyyy"/>
      <alignment horizontal="center" vertical="bottom" textRotation="0" wrapText="0" indent="0" justifyLastLine="0" shrinkToFit="0" readingOrder="0"/>
    </dxf>
    <dxf>
      <numFmt numFmtId="171" formatCode="m/d/yyyy"/>
    </dxf>
    <dxf>
      <numFmt numFmtId="171" formatCode="m/d/yyyy"/>
    </dxf>
    <dxf>
      <numFmt numFmtId="169" formatCode="_-[$R$-416]\ * #,##0.00_-;\-[$R$-416]\ * #,##0.00_-;_-[$R$-416]\ * &quot;-&quot;??_-;_-@_-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</dxfs>
  <tableStyles count="3" defaultTableStyle="TableStyleMedium2" defaultPivotStyle="PivotStyleLight16">
    <tableStyle name="PivotTable Style 1" table="0" count="0" xr9:uid="{721001EF-0A1B-474F-95AD-F3161247F6BE}"/>
    <tableStyle name="Table Style 1" pivot="0" count="0" xr9:uid="{6CB22644-920E-4178-8F1B-7913BD7C7FCE}"/>
    <tableStyle name="Table Style 2" pivot="0" count="0" xr9:uid="{72F3D9FB-A925-4AF6-8AAD-56821F7CC8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</a:t>
            </a:r>
            <a:r>
              <a:rPr lang="en-US" baseline="0"/>
              <a:t> dos Preços - PETR4 vs BOVA11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'Dados Históricos'!$A$3:$A$62</c:f>
              <c:numCache>
                <c:formatCode>m/d/yyyy</c:formatCode>
                <c:ptCount val="60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  <c:pt idx="10">
                  <c:v>44562</c:v>
                </c:pt>
                <c:pt idx="11">
                  <c:v>44593</c:v>
                </c:pt>
                <c:pt idx="12">
                  <c:v>44621</c:v>
                </c:pt>
                <c:pt idx="13">
                  <c:v>44652</c:v>
                </c:pt>
                <c:pt idx="14">
                  <c:v>44682</c:v>
                </c:pt>
                <c:pt idx="15">
                  <c:v>44713</c:v>
                </c:pt>
                <c:pt idx="16">
                  <c:v>44743</c:v>
                </c:pt>
                <c:pt idx="17">
                  <c:v>44774</c:v>
                </c:pt>
                <c:pt idx="18">
                  <c:v>44805</c:v>
                </c:pt>
                <c:pt idx="19">
                  <c:v>44835</c:v>
                </c:pt>
                <c:pt idx="20">
                  <c:v>44866</c:v>
                </c:pt>
                <c:pt idx="21">
                  <c:v>44896</c:v>
                </c:pt>
                <c:pt idx="22">
                  <c:v>44927</c:v>
                </c:pt>
                <c:pt idx="23">
                  <c:v>44958</c:v>
                </c:pt>
                <c:pt idx="24">
                  <c:v>44986</c:v>
                </c:pt>
                <c:pt idx="25">
                  <c:v>45017</c:v>
                </c:pt>
                <c:pt idx="26">
                  <c:v>45047</c:v>
                </c:pt>
                <c:pt idx="27">
                  <c:v>45078</c:v>
                </c:pt>
                <c:pt idx="28">
                  <c:v>45108</c:v>
                </c:pt>
                <c:pt idx="29">
                  <c:v>45139</c:v>
                </c:pt>
                <c:pt idx="30">
                  <c:v>45170</c:v>
                </c:pt>
                <c:pt idx="31">
                  <c:v>45200</c:v>
                </c:pt>
                <c:pt idx="32">
                  <c:v>45231</c:v>
                </c:pt>
                <c:pt idx="33">
                  <c:v>45261</c:v>
                </c:pt>
                <c:pt idx="34">
                  <c:v>45292</c:v>
                </c:pt>
                <c:pt idx="35">
                  <c:v>45323</c:v>
                </c:pt>
                <c:pt idx="36">
                  <c:v>45352</c:v>
                </c:pt>
                <c:pt idx="37">
                  <c:v>45383</c:v>
                </c:pt>
                <c:pt idx="38">
                  <c:v>45413</c:v>
                </c:pt>
                <c:pt idx="39">
                  <c:v>45444</c:v>
                </c:pt>
                <c:pt idx="40">
                  <c:v>45474</c:v>
                </c:pt>
                <c:pt idx="41">
                  <c:v>45505</c:v>
                </c:pt>
                <c:pt idx="42">
                  <c:v>45536</c:v>
                </c:pt>
                <c:pt idx="43">
                  <c:v>45566</c:v>
                </c:pt>
                <c:pt idx="44">
                  <c:v>45597</c:v>
                </c:pt>
                <c:pt idx="45">
                  <c:v>45627</c:v>
                </c:pt>
                <c:pt idx="46">
                  <c:v>45658</c:v>
                </c:pt>
                <c:pt idx="47">
                  <c:v>45689</c:v>
                </c:pt>
                <c:pt idx="48">
                  <c:v>45717</c:v>
                </c:pt>
                <c:pt idx="49">
                  <c:v>45748</c:v>
                </c:pt>
                <c:pt idx="50">
                  <c:v>45778</c:v>
                </c:pt>
                <c:pt idx="51">
                  <c:v>45809</c:v>
                </c:pt>
                <c:pt idx="52">
                  <c:v>45839</c:v>
                </c:pt>
                <c:pt idx="53">
                  <c:v>45870</c:v>
                </c:pt>
                <c:pt idx="54">
                  <c:v>45901</c:v>
                </c:pt>
                <c:pt idx="55">
                  <c:v>45931</c:v>
                </c:pt>
                <c:pt idx="56">
                  <c:v>45962</c:v>
                </c:pt>
                <c:pt idx="57">
                  <c:v>45992</c:v>
                </c:pt>
                <c:pt idx="58">
                  <c:v>46023</c:v>
                </c:pt>
                <c:pt idx="59">
                  <c:v>46054</c:v>
                </c:pt>
              </c:numCache>
            </c:numRef>
          </c:cat>
          <c:val>
            <c:numRef>
              <c:f>'Dados Históricos'!$E$3:$E$62</c:f>
              <c:numCache>
                <c:formatCode>_-[$R$-416]\ * #,##0.00_-;\-[$R$-416]\ * #,##0.00_-;_-[$R$-416]\ * "-"??_-;_-@_-</c:formatCode>
                <c:ptCount val="60"/>
                <c:pt idx="0">
                  <c:v>112.02</c:v>
                </c:pt>
                <c:pt idx="1">
                  <c:v>114.4</c:v>
                </c:pt>
                <c:pt idx="2">
                  <c:v>121.25</c:v>
                </c:pt>
                <c:pt idx="3">
                  <c:v>121.81</c:v>
                </c:pt>
                <c:pt idx="4">
                  <c:v>117.11</c:v>
                </c:pt>
                <c:pt idx="5">
                  <c:v>114.08</c:v>
                </c:pt>
                <c:pt idx="6">
                  <c:v>106.49</c:v>
                </c:pt>
                <c:pt idx="7">
                  <c:v>99.68</c:v>
                </c:pt>
                <c:pt idx="8">
                  <c:v>98.35</c:v>
                </c:pt>
                <c:pt idx="9">
                  <c:v>100.8</c:v>
                </c:pt>
                <c:pt idx="10">
                  <c:v>107.98</c:v>
                </c:pt>
                <c:pt idx="11">
                  <c:v>108.9</c:v>
                </c:pt>
                <c:pt idx="12">
                  <c:v>115.6</c:v>
                </c:pt>
                <c:pt idx="13">
                  <c:v>103.4</c:v>
                </c:pt>
                <c:pt idx="14">
                  <c:v>107.18</c:v>
                </c:pt>
                <c:pt idx="15">
                  <c:v>95</c:v>
                </c:pt>
                <c:pt idx="16">
                  <c:v>99.3</c:v>
                </c:pt>
                <c:pt idx="17">
                  <c:v>105.83</c:v>
                </c:pt>
                <c:pt idx="18">
                  <c:v>106.46</c:v>
                </c:pt>
                <c:pt idx="19">
                  <c:v>112.15</c:v>
                </c:pt>
                <c:pt idx="20">
                  <c:v>108.58</c:v>
                </c:pt>
                <c:pt idx="21">
                  <c:v>105.95</c:v>
                </c:pt>
                <c:pt idx="22">
                  <c:v>109.84</c:v>
                </c:pt>
                <c:pt idx="23">
                  <c:v>101.15</c:v>
                </c:pt>
                <c:pt idx="24">
                  <c:v>98.49</c:v>
                </c:pt>
                <c:pt idx="25">
                  <c:v>100.9</c:v>
                </c:pt>
                <c:pt idx="26">
                  <c:v>104.84</c:v>
                </c:pt>
                <c:pt idx="27">
                  <c:v>114.17</c:v>
                </c:pt>
                <c:pt idx="28">
                  <c:v>117.95</c:v>
                </c:pt>
                <c:pt idx="29">
                  <c:v>112.31</c:v>
                </c:pt>
                <c:pt idx="30">
                  <c:v>113.15</c:v>
                </c:pt>
                <c:pt idx="31">
                  <c:v>109.62</c:v>
                </c:pt>
                <c:pt idx="32">
                  <c:v>123.57</c:v>
                </c:pt>
                <c:pt idx="33">
                  <c:v>130.38999999999999</c:v>
                </c:pt>
                <c:pt idx="34">
                  <c:v>123.95</c:v>
                </c:pt>
                <c:pt idx="35">
                  <c:v>125.25</c:v>
                </c:pt>
                <c:pt idx="36">
                  <c:v>124.33</c:v>
                </c:pt>
                <c:pt idx="37">
                  <c:v>122.38</c:v>
                </c:pt>
                <c:pt idx="38">
                  <c:v>118.66</c:v>
                </c:pt>
                <c:pt idx="39">
                  <c:v>120.38</c:v>
                </c:pt>
                <c:pt idx="40">
                  <c:v>124.04</c:v>
                </c:pt>
                <c:pt idx="41">
                  <c:v>132.6</c:v>
                </c:pt>
                <c:pt idx="42">
                  <c:v>128.43</c:v>
                </c:pt>
                <c:pt idx="43">
                  <c:v>126.26</c:v>
                </c:pt>
                <c:pt idx="44">
                  <c:v>122.32</c:v>
                </c:pt>
                <c:pt idx="45">
                  <c:v>117.27</c:v>
                </c:pt>
                <c:pt idx="46">
                  <c:v>123</c:v>
                </c:pt>
                <c:pt idx="47">
                  <c:v>120.01</c:v>
                </c:pt>
                <c:pt idx="48">
                  <c:v>127.3</c:v>
                </c:pt>
                <c:pt idx="49">
                  <c:v>131.63</c:v>
                </c:pt>
                <c:pt idx="50">
                  <c:v>133.99</c:v>
                </c:pt>
                <c:pt idx="51">
                  <c:v>135.85</c:v>
                </c:pt>
                <c:pt idx="52">
                  <c:v>129.88</c:v>
                </c:pt>
                <c:pt idx="53">
                  <c:v>138.5</c:v>
                </c:pt>
                <c:pt idx="54">
                  <c:v>143.24</c:v>
                </c:pt>
                <c:pt idx="55">
                  <c:v>146.41</c:v>
                </c:pt>
                <c:pt idx="56">
                  <c:v>155.85</c:v>
                </c:pt>
                <c:pt idx="57">
                  <c:v>158</c:v>
                </c:pt>
                <c:pt idx="58">
                  <c:v>178.2</c:v>
                </c:pt>
                <c:pt idx="59">
                  <c:v>185.16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61-49BA-8682-A93BE5A1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587024"/>
        <c:axId val="783570800"/>
      </c:line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'Dados Históricos'!$A$3:$A$62</c:f>
              <c:numCache>
                <c:formatCode>m/d/yyyy</c:formatCode>
                <c:ptCount val="60"/>
                <c:pt idx="0">
                  <c:v>44256</c:v>
                </c:pt>
                <c:pt idx="1">
                  <c:v>44287</c:v>
                </c:pt>
                <c:pt idx="2">
                  <c:v>44317</c:v>
                </c:pt>
                <c:pt idx="3">
                  <c:v>44348</c:v>
                </c:pt>
                <c:pt idx="4">
                  <c:v>44378</c:v>
                </c:pt>
                <c:pt idx="5">
                  <c:v>44409</c:v>
                </c:pt>
                <c:pt idx="6">
                  <c:v>44440</c:v>
                </c:pt>
                <c:pt idx="7">
                  <c:v>44470</c:v>
                </c:pt>
                <c:pt idx="8">
                  <c:v>44501</c:v>
                </c:pt>
                <c:pt idx="9">
                  <c:v>44531</c:v>
                </c:pt>
                <c:pt idx="10">
                  <c:v>44562</c:v>
                </c:pt>
                <c:pt idx="11">
                  <c:v>44593</c:v>
                </c:pt>
                <c:pt idx="12">
                  <c:v>44621</c:v>
                </c:pt>
                <c:pt idx="13">
                  <c:v>44652</c:v>
                </c:pt>
                <c:pt idx="14">
                  <c:v>44682</c:v>
                </c:pt>
                <c:pt idx="15">
                  <c:v>44713</c:v>
                </c:pt>
                <c:pt idx="16">
                  <c:v>44743</c:v>
                </c:pt>
                <c:pt idx="17">
                  <c:v>44774</c:v>
                </c:pt>
                <c:pt idx="18">
                  <c:v>44805</c:v>
                </c:pt>
                <c:pt idx="19">
                  <c:v>44835</c:v>
                </c:pt>
                <c:pt idx="20">
                  <c:v>44866</c:v>
                </c:pt>
                <c:pt idx="21">
                  <c:v>44896</c:v>
                </c:pt>
                <c:pt idx="22">
                  <c:v>44927</c:v>
                </c:pt>
                <c:pt idx="23">
                  <c:v>44958</c:v>
                </c:pt>
                <c:pt idx="24">
                  <c:v>44986</c:v>
                </c:pt>
                <c:pt idx="25">
                  <c:v>45017</c:v>
                </c:pt>
                <c:pt idx="26">
                  <c:v>45047</c:v>
                </c:pt>
                <c:pt idx="27">
                  <c:v>45078</c:v>
                </c:pt>
                <c:pt idx="28">
                  <c:v>45108</c:v>
                </c:pt>
                <c:pt idx="29">
                  <c:v>45139</c:v>
                </c:pt>
                <c:pt idx="30">
                  <c:v>45170</c:v>
                </c:pt>
                <c:pt idx="31">
                  <c:v>45200</c:v>
                </c:pt>
                <c:pt idx="32">
                  <c:v>45231</c:v>
                </c:pt>
                <c:pt idx="33">
                  <c:v>45261</c:v>
                </c:pt>
                <c:pt idx="34">
                  <c:v>45292</c:v>
                </c:pt>
                <c:pt idx="35">
                  <c:v>45323</c:v>
                </c:pt>
                <c:pt idx="36">
                  <c:v>45352</c:v>
                </c:pt>
                <c:pt idx="37">
                  <c:v>45383</c:v>
                </c:pt>
                <c:pt idx="38">
                  <c:v>45413</c:v>
                </c:pt>
                <c:pt idx="39">
                  <c:v>45444</c:v>
                </c:pt>
                <c:pt idx="40">
                  <c:v>45474</c:v>
                </c:pt>
                <c:pt idx="41">
                  <c:v>45505</c:v>
                </c:pt>
                <c:pt idx="42">
                  <c:v>45536</c:v>
                </c:pt>
                <c:pt idx="43">
                  <c:v>45566</c:v>
                </c:pt>
                <c:pt idx="44">
                  <c:v>45597</c:v>
                </c:pt>
                <c:pt idx="45">
                  <c:v>45627</c:v>
                </c:pt>
                <c:pt idx="46">
                  <c:v>45658</c:v>
                </c:pt>
                <c:pt idx="47">
                  <c:v>45689</c:v>
                </c:pt>
                <c:pt idx="48">
                  <c:v>45717</c:v>
                </c:pt>
                <c:pt idx="49">
                  <c:v>45748</c:v>
                </c:pt>
                <c:pt idx="50">
                  <c:v>45778</c:v>
                </c:pt>
                <c:pt idx="51">
                  <c:v>45809</c:v>
                </c:pt>
                <c:pt idx="52">
                  <c:v>45839</c:v>
                </c:pt>
                <c:pt idx="53">
                  <c:v>45870</c:v>
                </c:pt>
                <c:pt idx="54">
                  <c:v>45901</c:v>
                </c:pt>
                <c:pt idx="55">
                  <c:v>45931</c:v>
                </c:pt>
                <c:pt idx="56">
                  <c:v>45962</c:v>
                </c:pt>
                <c:pt idx="57">
                  <c:v>45992</c:v>
                </c:pt>
                <c:pt idx="58">
                  <c:v>46023</c:v>
                </c:pt>
                <c:pt idx="59">
                  <c:v>46054</c:v>
                </c:pt>
              </c:numCache>
            </c:numRef>
          </c:cat>
          <c:val>
            <c:numRef>
              <c:f>'Dados Históricos'!$B$3:$B$62</c:f>
              <c:numCache>
                <c:formatCode>_-[$R$-416]\ * #,##0.00_-;\-[$R$-416]\ * #,##0.00_-;_-[$R$-416]\ * "-"??_-;_-@_-</c:formatCode>
                <c:ptCount val="60"/>
                <c:pt idx="0">
                  <c:v>10.01</c:v>
                </c:pt>
                <c:pt idx="1">
                  <c:v>10.130000000000001</c:v>
                </c:pt>
                <c:pt idx="2">
                  <c:v>11.53</c:v>
                </c:pt>
                <c:pt idx="3">
                  <c:v>12.63</c:v>
                </c:pt>
                <c:pt idx="4">
                  <c:v>11.55</c:v>
                </c:pt>
                <c:pt idx="5">
                  <c:v>12.36</c:v>
                </c:pt>
                <c:pt idx="6">
                  <c:v>12.38</c:v>
                </c:pt>
                <c:pt idx="7">
                  <c:v>12.39</c:v>
                </c:pt>
                <c:pt idx="8">
                  <c:v>13.38</c:v>
                </c:pt>
                <c:pt idx="9">
                  <c:v>14.01</c:v>
                </c:pt>
                <c:pt idx="10">
                  <c:v>15.93</c:v>
                </c:pt>
                <c:pt idx="11">
                  <c:v>16.739999999999998</c:v>
                </c:pt>
                <c:pt idx="12">
                  <c:v>16.47</c:v>
                </c:pt>
                <c:pt idx="13">
                  <c:v>16.260000000000002</c:v>
                </c:pt>
                <c:pt idx="14">
                  <c:v>17.989999999999998</c:v>
                </c:pt>
                <c:pt idx="15">
                  <c:v>16.71</c:v>
                </c:pt>
                <c:pt idx="16">
                  <c:v>20.43</c:v>
                </c:pt>
                <c:pt idx="17">
                  <c:v>24.42</c:v>
                </c:pt>
                <c:pt idx="18">
                  <c:v>21.9</c:v>
                </c:pt>
                <c:pt idx="19">
                  <c:v>21.9</c:v>
                </c:pt>
                <c:pt idx="20">
                  <c:v>22.39</c:v>
                </c:pt>
                <c:pt idx="21">
                  <c:v>20.58</c:v>
                </c:pt>
                <c:pt idx="22">
                  <c:v>21.89</c:v>
                </c:pt>
                <c:pt idx="23">
                  <c:v>21.2</c:v>
                </c:pt>
                <c:pt idx="24">
                  <c:v>19.690000000000001</c:v>
                </c:pt>
                <c:pt idx="25">
                  <c:v>22.24</c:v>
                </c:pt>
                <c:pt idx="26">
                  <c:v>24.51</c:v>
                </c:pt>
                <c:pt idx="27">
                  <c:v>29.53</c:v>
                </c:pt>
                <c:pt idx="28">
                  <c:v>31.11</c:v>
                </c:pt>
                <c:pt idx="29">
                  <c:v>31.94</c:v>
                </c:pt>
                <c:pt idx="30">
                  <c:v>34.64</c:v>
                </c:pt>
                <c:pt idx="31">
                  <c:v>34.74</c:v>
                </c:pt>
                <c:pt idx="32">
                  <c:v>35.909999999999997</c:v>
                </c:pt>
                <c:pt idx="33">
                  <c:v>37.24</c:v>
                </c:pt>
                <c:pt idx="34">
                  <c:v>40.450000000000003</c:v>
                </c:pt>
                <c:pt idx="35">
                  <c:v>40.14</c:v>
                </c:pt>
                <c:pt idx="36">
                  <c:v>33.950000000000003</c:v>
                </c:pt>
                <c:pt idx="37">
                  <c:v>39.21</c:v>
                </c:pt>
                <c:pt idx="38">
                  <c:v>36.67</c:v>
                </c:pt>
                <c:pt idx="39">
                  <c:v>37</c:v>
                </c:pt>
                <c:pt idx="40">
                  <c:v>36.369999999999997</c:v>
                </c:pt>
                <c:pt idx="41">
                  <c:v>39.369999999999997</c:v>
                </c:pt>
                <c:pt idx="42">
                  <c:v>33.39</c:v>
                </c:pt>
                <c:pt idx="43">
                  <c:v>33.29</c:v>
                </c:pt>
                <c:pt idx="44">
                  <c:v>36.06</c:v>
                </c:pt>
                <c:pt idx="45">
                  <c:v>36.19</c:v>
                </c:pt>
                <c:pt idx="46">
                  <c:v>36.83</c:v>
                </c:pt>
                <c:pt idx="47">
                  <c:v>35.11</c:v>
                </c:pt>
                <c:pt idx="48">
                  <c:v>35.25</c:v>
                </c:pt>
                <c:pt idx="49">
                  <c:v>29.11</c:v>
                </c:pt>
                <c:pt idx="50">
                  <c:v>29.33</c:v>
                </c:pt>
                <c:pt idx="51">
                  <c:v>30.68</c:v>
                </c:pt>
                <c:pt idx="52">
                  <c:v>31.92</c:v>
                </c:pt>
                <c:pt idx="53">
                  <c:v>31.1</c:v>
                </c:pt>
                <c:pt idx="54">
                  <c:v>30.51</c:v>
                </c:pt>
                <c:pt idx="55">
                  <c:v>28.85</c:v>
                </c:pt>
                <c:pt idx="56">
                  <c:v>30.83</c:v>
                </c:pt>
                <c:pt idx="57">
                  <c:v>30.82</c:v>
                </c:pt>
                <c:pt idx="58">
                  <c:v>37.76</c:v>
                </c:pt>
                <c:pt idx="59">
                  <c:v>39.33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61-49BA-8682-A93BE5A1E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3595344"/>
        <c:axId val="783594096"/>
      </c:lineChart>
      <c:dateAx>
        <c:axId val="783587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570800"/>
        <c:crosses val="autoZero"/>
        <c:auto val="1"/>
        <c:lblOffset val="100"/>
        <c:baseTimeUnit val="months"/>
      </c:dateAx>
      <c:valAx>
        <c:axId val="78357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Preço BOVA11</a:t>
                </a:r>
                <a:r>
                  <a:rPr lang="en-US" baseline="0"/>
                  <a:t> (R$)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587024"/>
        <c:crosses val="autoZero"/>
        <c:crossBetween val="between"/>
      </c:valAx>
      <c:valAx>
        <c:axId val="7835940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Preço PETR4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R$-416]\ * #,##0.00_-;\-[$R$-416]\ * #,##0.00_-;_-[$R$-416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595344"/>
        <c:crosses val="max"/>
        <c:crossBetween val="between"/>
      </c:valAx>
      <c:dateAx>
        <c:axId val="78359534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8359409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Fronteira Eficiente – Modelo de Markowitz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MODELAGEM!$N$5:$N$25</c:f>
              <c:numCache>
                <c:formatCode>0.000000%</c:formatCode>
                <c:ptCount val="21"/>
                <c:pt idx="0">
                  <c:v>5.0288192901612572E-2</c:v>
                </c:pt>
                <c:pt idx="1">
                  <c:v>4.9788096692455652E-2</c:v>
                </c:pt>
                <c:pt idx="2">
                  <c:v>4.9595333017804166E-2</c:v>
                </c:pt>
                <c:pt idx="3">
                  <c:v>4.9713477045752325E-2</c:v>
                </c:pt>
                <c:pt idx="4">
                  <c:v>5.0140331079404112E-2</c:v>
                </c:pt>
                <c:pt idx="5">
                  <c:v>5.0868124198441174E-2</c:v>
                </c:pt>
                <c:pt idx="6">
                  <c:v>5.1884193894922194E-2</c:v>
                </c:pt>
                <c:pt idx="7">
                  <c:v>5.317201661330697E-2</c:v>
                </c:pt>
                <c:pt idx="8">
                  <c:v>5.4712406118427738E-2</c:v>
                </c:pt>
                <c:pt idx="9">
                  <c:v>5.6484703006670849E-2</c:v>
                </c:pt>
                <c:pt idx="10">
                  <c:v>5.8467822109070547E-2</c:v>
                </c:pt>
                <c:pt idx="11">
                  <c:v>6.0641083668962356E-2</c:v>
                </c:pt>
                <c:pt idx="12">
                  <c:v>6.2984808429146874E-2</c:v>
                </c:pt>
                <c:pt idx="13">
                  <c:v>6.5480694980342397E-2</c:v>
                </c:pt>
                <c:pt idx="14">
                  <c:v>6.8112017994646196E-2</c:v>
                </c:pt>
                <c:pt idx="15">
                  <c:v>7.0863691926397993E-2</c:v>
                </c:pt>
                <c:pt idx="16">
                  <c:v>7.3722241755917517E-2</c:v>
                </c:pt>
                <c:pt idx="17">
                  <c:v>7.6675715083320314E-2</c:v>
                </c:pt>
                <c:pt idx="18">
                  <c:v>7.9713561553233531E-2</c:v>
                </c:pt>
                <c:pt idx="19">
                  <c:v>8.2826497966567741E-2</c:v>
                </c:pt>
                <c:pt idx="20">
                  <c:v>8.6006371236395124E-2</c:v>
                </c:pt>
              </c:numCache>
            </c:numRef>
          </c:xVal>
          <c:yVal>
            <c:numRef>
              <c:f>MODELAGEM!$L$5:$L$25</c:f>
              <c:numCache>
                <c:formatCode>0.0000%</c:formatCode>
                <c:ptCount val="21"/>
                <c:pt idx="0">
                  <c:v>9.8144792501328303E-3</c:v>
                </c:pt>
                <c:pt idx="1">
                  <c:v>1.0677494144842339E-2</c:v>
                </c:pt>
                <c:pt idx="2">
                  <c:v>1.1540509039551851E-2</c:v>
                </c:pt>
                <c:pt idx="3">
                  <c:v>1.2403523934261359E-2</c:v>
                </c:pt>
                <c:pt idx="4">
                  <c:v>1.3266538828970869E-2</c:v>
                </c:pt>
                <c:pt idx="5">
                  <c:v>1.4129553723680379E-2</c:v>
                </c:pt>
                <c:pt idx="6">
                  <c:v>1.4992568618389889E-2</c:v>
                </c:pt>
                <c:pt idx="7">
                  <c:v>1.5855583513099399E-2</c:v>
                </c:pt>
                <c:pt idx="8">
                  <c:v>1.6718598407808909E-2</c:v>
                </c:pt>
                <c:pt idx="9">
                  <c:v>1.7581613302518419E-2</c:v>
                </c:pt>
                <c:pt idx="10">
                  <c:v>1.8444628197227926E-2</c:v>
                </c:pt>
                <c:pt idx="11">
                  <c:v>1.9307643091937436E-2</c:v>
                </c:pt>
                <c:pt idx="12">
                  <c:v>2.0170657986646946E-2</c:v>
                </c:pt>
                <c:pt idx="13">
                  <c:v>2.1033672881356456E-2</c:v>
                </c:pt>
                <c:pt idx="14">
                  <c:v>2.1896687776065966E-2</c:v>
                </c:pt>
                <c:pt idx="15">
                  <c:v>2.2759702670775477E-2</c:v>
                </c:pt>
                <c:pt idx="16">
                  <c:v>2.3622717565484987E-2</c:v>
                </c:pt>
                <c:pt idx="17">
                  <c:v>2.4485732460194493E-2</c:v>
                </c:pt>
                <c:pt idx="18">
                  <c:v>2.5348747354904007E-2</c:v>
                </c:pt>
                <c:pt idx="19">
                  <c:v>2.6211762249613513E-2</c:v>
                </c:pt>
                <c:pt idx="20">
                  <c:v>2.7074777144323024E-2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20-4CE8-A16F-88F59B62D592}"/>
            </c:ext>
          </c:extLst>
        </c:ser>
        <c:ser>
          <c:idx val="1"/>
          <c:order val="1"/>
          <c:tx>
            <c:v>Portfólio de Variância Mínima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38802264016153"/>
                      <c:h val="0.1395228535897506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7081-4A4D-AAFE-BD7F4C6918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MODELAGEM!$K$30</c:f>
              <c:numCache>
                <c:formatCode>0.000000%</c:formatCode>
                <c:ptCount val="1"/>
                <c:pt idx="0">
                  <c:v>4.9595333017804166E-2</c:v>
                </c:pt>
              </c:numCache>
            </c:numRef>
          </c:xVal>
          <c:yVal>
            <c:numRef>
              <c:f>MODELAGEM!$K$31</c:f>
              <c:numCache>
                <c:formatCode>0.0000%</c:formatCode>
                <c:ptCount val="1"/>
                <c:pt idx="0">
                  <c:v>1.1540509039551851E-2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81-4A4D-AAFE-BD7F4C691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500607"/>
        <c:axId val="972498527"/>
      </c:scatterChart>
      <c:valAx>
        <c:axId val="972500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498527"/>
        <c:crosses val="autoZero"/>
        <c:crossBetween val="midCat"/>
      </c:valAx>
      <c:valAx>
        <c:axId val="972498527"/>
        <c:scaling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Retorno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500607"/>
        <c:crosses val="autoZero"/>
        <c:crossBetween val="midCat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Alocação de Portfólio de Variância Mínima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551-49F8-BD70-BDFFA1E2FD63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51-49F8-BD70-BDFFA1E2FD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MODELAGEM!$J$32:$J$33</c:f>
              <c:strCache>
                <c:ptCount val="2"/>
                <c:pt idx="0">
                  <c:v>PETR4</c:v>
                </c:pt>
                <c:pt idx="1">
                  <c:v>BOVA11</c:v>
                </c:pt>
              </c:strCache>
            </c:strRef>
          </c:cat>
          <c:val>
            <c:numRef>
              <c:f>MODELAGEM!$K$32:$K$33</c:f>
              <c:numCache>
                <c:formatCode>0%</c:formatCode>
                <c:ptCount val="2"/>
                <c:pt idx="0">
                  <c:v>0.1</c:v>
                </c:pt>
                <c:pt idx="1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1-49F8-BD70-BDFFA1E2FD6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535304</xdr:colOff>
      <xdr:row>1</xdr:row>
      <xdr:rowOff>114298</xdr:rowOff>
    </xdr:from>
    <xdr:to>
      <xdr:col>25</xdr:col>
      <xdr:colOff>457200</xdr:colOff>
      <xdr:row>33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74DC29-C338-491C-ACBF-DDE99E59D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344805</xdr:colOff>
      <xdr:row>12</xdr:row>
      <xdr:rowOff>38100</xdr:rowOff>
    </xdr:from>
    <xdr:to>
      <xdr:col>7</xdr:col>
      <xdr:colOff>923925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9AA77A-BDE8-4194-9A4F-C34C5F9F5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247650</xdr:colOff>
      <xdr:row>25</xdr:row>
      <xdr:rowOff>146684</xdr:rowOff>
    </xdr:from>
    <xdr:to>
      <xdr:col>14</xdr:col>
      <xdr:colOff>1380172</xdr:colOff>
      <xdr:row>43</xdr:row>
      <xdr:rowOff>74294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E76C63-F73C-4EBE-ACDF-96C2A1F0B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E0488C-3DAC-4A2F-BCEB-634EC3C2C98F}" name="Table2" displayName="Table2" ref="D2:E62" totalsRowShown="0" dataDxfId="0">
  <autoFilter ref="D2:E62" xr:uid="{45E0488C-3DAC-4A2F-BCEB-634EC3C2C98F}"/>
  <sortState xmlns:xlrd2="http://schemas.microsoft.com/office/spreadsheetml/2017/richdata2" ref="D3:E62">
    <sortCondition ref="D2:D62"/>
  </sortState>
  <tableColumns count="2">
    <tableColumn id="1" xr3:uid="{856AB21A-D910-4AB4-8B1F-8FED819BBBEA}" name="Data" dataDxfId="2"/>
    <tableColumn id="2" xr3:uid="{23D9E2E0-B6F4-47A7-86FC-F84591D4B02A}" name="Preço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BBB76-BEBB-4535-A84E-C431A0C52E3B}" name="Table1" displayName="Table1" ref="A2:B62">
  <autoFilter ref="A2:B62" xr:uid="{A24BBB76-BEBB-4535-A84E-C431A0C52E3B}"/>
  <sortState xmlns:xlrd2="http://schemas.microsoft.com/office/spreadsheetml/2017/richdata2" ref="A3:B62">
    <sortCondition ref="A2:A62"/>
  </sortState>
  <tableColumns count="2">
    <tableColumn id="1" xr3:uid="{20A373CB-4EEC-4D38-87D7-5D8E9ACE97C4}" name="Data" totalsRowLabel="Total" dataDxfId="4" totalsRowDxfId="8"/>
    <tableColumn id="2" xr3:uid="{77B0A86B-FB9D-4933-8BE6-F63CBEA152C6}" name="Preço" totalsRowFunction="sum" dataDxfId="3" totalsRow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EC1996-94EA-4A62-8076-D0A4B5987C2F}" name="Table3" displayName="Table3" ref="A1:A61" dataDxfId="6">
  <autoFilter ref="A1:A61" xr:uid="{02EC1996-94EA-4A62-8076-D0A4B5987C2F}"/>
  <sortState xmlns:xlrd2="http://schemas.microsoft.com/office/spreadsheetml/2017/richdata2" ref="A2:A61">
    <sortCondition ref="A1:A61"/>
  </sortState>
  <tableColumns count="1">
    <tableColumn id="1" xr3:uid="{FE005F63-A17C-4734-B9EC-90E4FFFF9C17}" name="Data" totalsRowFunction="count" dataDxfId="5"/>
  </tableColumns>
  <tableStyleInfo name="TableStyleMedium1" showFirstColumn="0" showLastColumn="0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9C007-468D-4A82-AC05-8944087E0BBB}">
  <dimension ref="A1:E62"/>
  <sheetViews>
    <sheetView tabSelected="1" workbookViewId="0">
      <selection activeCell="E11" sqref="E11"/>
    </sheetView>
  </sheetViews>
  <sheetFormatPr defaultRowHeight="15" x14ac:dyDescent="0.25"/>
  <cols>
    <col min="1" max="1" width="15" customWidth="1"/>
    <col min="2" max="2" width="11.42578125" customWidth="1"/>
    <col min="3" max="3" width="10.5703125" customWidth="1"/>
    <col min="4" max="4" width="15" customWidth="1"/>
    <col min="5" max="5" width="12" customWidth="1"/>
  </cols>
  <sheetData>
    <row r="1" spans="1:5" ht="31.9" customHeight="1" x14ac:dyDescent="0.25">
      <c r="A1" s="39" t="s">
        <v>15</v>
      </c>
      <c r="B1" s="39"/>
      <c r="D1" s="39" t="s">
        <v>0</v>
      </c>
      <c r="E1" s="39"/>
    </row>
    <row r="2" spans="1:5" x14ac:dyDescent="0.25">
      <c r="A2" s="73" t="s">
        <v>1</v>
      </c>
      <c r="B2" s="73" t="s">
        <v>45</v>
      </c>
      <c r="D2" s="73" t="s">
        <v>1</v>
      </c>
      <c r="E2" s="73" t="s">
        <v>45</v>
      </c>
    </row>
    <row r="3" spans="1:5" x14ac:dyDescent="0.25">
      <c r="A3" s="75">
        <v>44256</v>
      </c>
      <c r="B3" s="76">
        <v>10.01</v>
      </c>
      <c r="D3" s="75">
        <v>44256</v>
      </c>
      <c r="E3" s="76">
        <v>112.02</v>
      </c>
    </row>
    <row r="4" spans="1:5" x14ac:dyDescent="0.25">
      <c r="A4" s="75">
        <v>44287</v>
      </c>
      <c r="B4" s="76">
        <v>10.130000000000001</v>
      </c>
      <c r="D4" s="75">
        <v>44287</v>
      </c>
      <c r="E4" s="76">
        <v>114.4</v>
      </c>
    </row>
    <row r="5" spans="1:5" x14ac:dyDescent="0.25">
      <c r="A5" s="75">
        <v>44317</v>
      </c>
      <c r="B5" s="76">
        <v>11.53</v>
      </c>
      <c r="D5" s="75">
        <v>44317</v>
      </c>
      <c r="E5" s="76">
        <v>121.25</v>
      </c>
    </row>
    <row r="6" spans="1:5" x14ac:dyDescent="0.25">
      <c r="A6" s="75">
        <v>44348</v>
      </c>
      <c r="B6" s="76">
        <v>12.63</v>
      </c>
      <c r="D6" s="75">
        <v>44348</v>
      </c>
      <c r="E6" s="76">
        <v>121.81</v>
      </c>
    </row>
    <row r="7" spans="1:5" x14ac:dyDescent="0.25">
      <c r="A7" s="75">
        <v>44378</v>
      </c>
      <c r="B7" s="76">
        <v>11.55</v>
      </c>
      <c r="D7" s="75">
        <v>44378</v>
      </c>
      <c r="E7" s="76">
        <v>117.11</v>
      </c>
    </row>
    <row r="8" spans="1:5" x14ac:dyDescent="0.25">
      <c r="A8" s="75">
        <v>44409</v>
      </c>
      <c r="B8" s="76">
        <v>12.36</v>
      </c>
      <c r="D8" s="75">
        <v>44409</v>
      </c>
      <c r="E8" s="76">
        <v>114.08</v>
      </c>
    </row>
    <row r="9" spans="1:5" x14ac:dyDescent="0.25">
      <c r="A9" s="75">
        <v>44440</v>
      </c>
      <c r="B9" s="76">
        <v>12.38</v>
      </c>
      <c r="D9" s="75">
        <v>44440</v>
      </c>
      <c r="E9" s="76">
        <v>106.49</v>
      </c>
    </row>
    <row r="10" spans="1:5" x14ac:dyDescent="0.25">
      <c r="A10" s="75">
        <v>44470</v>
      </c>
      <c r="B10" s="76">
        <v>12.39</v>
      </c>
      <c r="D10" s="75">
        <v>44470</v>
      </c>
      <c r="E10" s="76">
        <v>99.68</v>
      </c>
    </row>
    <row r="11" spans="1:5" x14ac:dyDescent="0.25">
      <c r="A11" s="75">
        <v>44501</v>
      </c>
      <c r="B11" s="76">
        <v>13.38</v>
      </c>
      <c r="D11" s="75">
        <v>44501</v>
      </c>
      <c r="E11" s="76">
        <v>98.35</v>
      </c>
    </row>
    <row r="12" spans="1:5" x14ac:dyDescent="0.25">
      <c r="A12" s="75">
        <v>44531</v>
      </c>
      <c r="B12" s="76">
        <v>14.01</v>
      </c>
      <c r="D12" s="75">
        <v>44531</v>
      </c>
      <c r="E12" s="76">
        <v>100.8</v>
      </c>
    </row>
    <row r="13" spans="1:5" x14ac:dyDescent="0.25">
      <c r="A13" s="75">
        <v>44562</v>
      </c>
      <c r="B13" s="76">
        <v>15.93</v>
      </c>
      <c r="D13" s="75">
        <v>44562</v>
      </c>
      <c r="E13" s="76">
        <v>107.98</v>
      </c>
    </row>
    <row r="14" spans="1:5" x14ac:dyDescent="0.25">
      <c r="A14" s="75">
        <v>44593</v>
      </c>
      <c r="B14" s="76">
        <v>16.739999999999998</v>
      </c>
      <c r="D14" s="75">
        <v>44593</v>
      </c>
      <c r="E14" s="76">
        <v>108.9</v>
      </c>
    </row>
    <row r="15" spans="1:5" x14ac:dyDescent="0.25">
      <c r="A15" s="75">
        <v>44621</v>
      </c>
      <c r="B15" s="76">
        <v>16.47</v>
      </c>
      <c r="D15" s="75">
        <v>44621</v>
      </c>
      <c r="E15" s="76">
        <v>115.6</v>
      </c>
    </row>
    <row r="16" spans="1:5" x14ac:dyDescent="0.25">
      <c r="A16" s="75">
        <v>44652</v>
      </c>
      <c r="B16" s="76">
        <v>16.260000000000002</v>
      </c>
      <c r="D16" s="75">
        <v>44652</v>
      </c>
      <c r="E16" s="76">
        <v>103.4</v>
      </c>
    </row>
    <row r="17" spans="1:5" x14ac:dyDescent="0.25">
      <c r="A17" s="75">
        <v>44682</v>
      </c>
      <c r="B17" s="76">
        <v>17.989999999999998</v>
      </c>
      <c r="D17" s="75">
        <v>44682</v>
      </c>
      <c r="E17" s="76">
        <v>107.18</v>
      </c>
    </row>
    <row r="18" spans="1:5" x14ac:dyDescent="0.25">
      <c r="A18" s="75">
        <v>44713</v>
      </c>
      <c r="B18" s="76">
        <v>16.71</v>
      </c>
      <c r="D18" s="75">
        <v>44713</v>
      </c>
      <c r="E18" s="76">
        <v>95</v>
      </c>
    </row>
    <row r="19" spans="1:5" x14ac:dyDescent="0.25">
      <c r="A19" s="75">
        <v>44743</v>
      </c>
      <c r="B19" s="76">
        <v>20.43</v>
      </c>
      <c r="D19" s="75">
        <v>44743</v>
      </c>
      <c r="E19" s="76">
        <v>99.3</v>
      </c>
    </row>
    <row r="20" spans="1:5" x14ac:dyDescent="0.25">
      <c r="A20" s="75">
        <v>44774</v>
      </c>
      <c r="B20" s="76">
        <v>24.42</v>
      </c>
      <c r="D20" s="75">
        <v>44774</v>
      </c>
      <c r="E20" s="76">
        <v>105.83</v>
      </c>
    </row>
    <row r="21" spans="1:5" x14ac:dyDescent="0.25">
      <c r="A21" s="75">
        <v>44805</v>
      </c>
      <c r="B21" s="76">
        <v>21.9</v>
      </c>
      <c r="D21" s="75">
        <v>44805</v>
      </c>
      <c r="E21" s="76">
        <v>106.46</v>
      </c>
    </row>
    <row r="22" spans="1:5" x14ac:dyDescent="0.25">
      <c r="A22" s="75">
        <v>44835</v>
      </c>
      <c r="B22" s="76">
        <v>21.9</v>
      </c>
      <c r="D22" s="75">
        <v>44835</v>
      </c>
      <c r="E22" s="76">
        <v>112.15</v>
      </c>
    </row>
    <row r="23" spans="1:5" x14ac:dyDescent="0.25">
      <c r="A23" s="75">
        <v>44866</v>
      </c>
      <c r="B23" s="76">
        <v>22.39</v>
      </c>
      <c r="D23" s="75">
        <v>44866</v>
      </c>
      <c r="E23" s="76">
        <v>108.58</v>
      </c>
    </row>
    <row r="24" spans="1:5" x14ac:dyDescent="0.25">
      <c r="A24" s="75">
        <v>44896</v>
      </c>
      <c r="B24" s="76">
        <v>20.58</v>
      </c>
      <c r="D24" s="75">
        <v>44896</v>
      </c>
      <c r="E24" s="76">
        <v>105.95</v>
      </c>
    </row>
    <row r="25" spans="1:5" x14ac:dyDescent="0.25">
      <c r="A25" s="75">
        <v>44927</v>
      </c>
      <c r="B25" s="76">
        <v>21.89</v>
      </c>
      <c r="D25" s="75">
        <v>44927</v>
      </c>
      <c r="E25" s="76">
        <v>109.84</v>
      </c>
    </row>
    <row r="26" spans="1:5" x14ac:dyDescent="0.25">
      <c r="A26" s="75">
        <v>44958</v>
      </c>
      <c r="B26" s="76">
        <v>21.2</v>
      </c>
      <c r="D26" s="75">
        <v>44958</v>
      </c>
      <c r="E26" s="76">
        <v>101.15</v>
      </c>
    </row>
    <row r="27" spans="1:5" x14ac:dyDescent="0.25">
      <c r="A27" s="75">
        <v>44986</v>
      </c>
      <c r="B27" s="76">
        <v>19.690000000000001</v>
      </c>
      <c r="D27" s="75">
        <v>44986</v>
      </c>
      <c r="E27" s="76">
        <v>98.49</v>
      </c>
    </row>
    <row r="28" spans="1:5" x14ac:dyDescent="0.25">
      <c r="A28" s="75">
        <v>45017</v>
      </c>
      <c r="B28" s="76">
        <v>22.24</v>
      </c>
      <c r="D28" s="75">
        <v>45017</v>
      </c>
      <c r="E28" s="76">
        <v>100.9</v>
      </c>
    </row>
    <row r="29" spans="1:5" x14ac:dyDescent="0.25">
      <c r="A29" s="75">
        <v>45047</v>
      </c>
      <c r="B29" s="76">
        <v>24.51</v>
      </c>
      <c r="D29" s="75">
        <v>45047</v>
      </c>
      <c r="E29" s="76">
        <v>104.84</v>
      </c>
    </row>
    <row r="30" spans="1:5" x14ac:dyDescent="0.25">
      <c r="A30" s="75">
        <v>45078</v>
      </c>
      <c r="B30" s="76">
        <v>29.53</v>
      </c>
      <c r="D30" s="75">
        <v>45078</v>
      </c>
      <c r="E30" s="76">
        <v>114.17</v>
      </c>
    </row>
    <row r="31" spans="1:5" x14ac:dyDescent="0.25">
      <c r="A31" s="75">
        <v>45108</v>
      </c>
      <c r="B31" s="76">
        <v>31.11</v>
      </c>
      <c r="D31" s="75">
        <v>45108</v>
      </c>
      <c r="E31" s="76">
        <v>117.95</v>
      </c>
    </row>
    <row r="32" spans="1:5" x14ac:dyDescent="0.25">
      <c r="A32" s="75">
        <v>45139</v>
      </c>
      <c r="B32" s="76">
        <v>31.94</v>
      </c>
      <c r="D32" s="75">
        <v>45139</v>
      </c>
      <c r="E32" s="76">
        <v>112.31</v>
      </c>
    </row>
    <row r="33" spans="1:5" x14ac:dyDescent="0.25">
      <c r="A33" s="75">
        <v>45170</v>
      </c>
      <c r="B33" s="76">
        <v>34.64</v>
      </c>
      <c r="D33" s="75">
        <v>45170</v>
      </c>
      <c r="E33" s="76">
        <v>113.15</v>
      </c>
    </row>
    <row r="34" spans="1:5" x14ac:dyDescent="0.25">
      <c r="A34" s="75">
        <v>45200</v>
      </c>
      <c r="B34" s="76">
        <v>34.74</v>
      </c>
      <c r="D34" s="75">
        <v>45200</v>
      </c>
      <c r="E34" s="76">
        <v>109.62</v>
      </c>
    </row>
    <row r="35" spans="1:5" x14ac:dyDescent="0.25">
      <c r="A35" s="75">
        <v>45231</v>
      </c>
      <c r="B35" s="76">
        <v>35.909999999999997</v>
      </c>
      <c r="D35" s="75">
        <v>45231</v>
      </c>
      <c r="E35" s="76">
        <v>123.57</v>
      </c>
    </row>
    <row r="36" spans="1:5" x14ac:dyDescent="0.25">
      <c r="A36" s="75">
        <v>45261</v>
      </c>
      <c r="B36" s="76">
        <v>37.24</v>
      </c>
      <c r="D36" s="75">
        <v>45261</v>
      </c>
      <c r="E36" s="76">
        <v>130.38999999999999</v>
      </c>
    </row>
    <row r="37" spans="1:5" x14ac:dyDescent="0.25">
      <c r="A37" s="75">
        <v>45292</v>
      </c>
      <c r="B37" s="76">
        <v>40.450000000000003</v>
      </c>
      <c r="D37" s="75">
        <v>45292</v>
      </c>
      <c r="E37" s="76">
        <v>123.95</v>
      </c>
    </row>
    <row r="38" spans="1:5" x14ac:dyDescent="0.25">
      <c r="A38" s="75">
        <v>45323</v>
      </c>
      <c r="B38" s="76">
        <v>40.14</v>
      </c>
      <c r="D38" s="75">
        <v>45323</v>
      </c>
      <c r="E38" s="76">
        <v>125.25</v>
      </c>
    </row>
    <row r="39" spans="1:5" x14ac:dyDescent="0.25">
      <c r="A39" s="75">
        <v>45352</v>
      </c>
      <c r="B39" s="76">
        <v>33.950000000000003</v>
      </c>
      <c r="D39" s="75">
        <v>45352</v>
      </c>
      <c r="E39" s="76">
        <v>124.33</v>
      </c>
    </row>
    <row r="40" spans="1:5" x14ac:dyDescent="0.25">
      <c r="A40" s="75">
        <v>45383</v>
      </c>
      <c r="B40" s="76">
        <v>39.21</v>
      </c>
      <c r="D40" s="75">
        <v>45383</v>
      </c>
      <c r="E40" s="76">
        <v>122.38</v>
      </c>
    </row>
    <row r="41" spans="1:5" x14ac:dyDescent="0.25">
      <c r="A41" s="75">
        <v>45413</v>
      </c>
      <c r="B41" s="76">
        <v>36.67</v>
      </c>
      <c r="D41" s="75">
        <v>45413</v>
      </c>
      <c r="E41" s="76">
        <v>118.66</v>
      </c>
    </row>
    <row r="42" spans="1:5" x14ac:dyDescent="0.25">
      <c r="A42" s="75">
        <v>45444</v>
      </c>
      <c r="B42" s="76">
        <v>37</v>
      </c>
      <c r="D42" s="75">
        <v>45444</v>
      </c>
      <c r="E42" s="76">
        <v>120.38</v>
      </c>
    </row>
    <row r="43" spans="1:5" x14ac:dyDescent="0.25">
      <c r="A43" s="75">
        <v>45474</v>
      </c>
      <c r="B43" s="76">
        <v>36.369999999999997</v>
      </c>
      <c r="D43" s="75">
        <v>45474</v>
      </c>
      <c r="E43" s="76">
        <v>124.04</v>
      </c>
    </row>
    <row r="44" spans="1:5" x14ac:dyDescent="0.25">
      <c r="A44" s="75">
        <v>45505</v>
      </c>
      <c r="B44" s="76">
        <v>39.369999999999997</v>
      </c>
      <c r="D44" s="75">
        <v>45505</v>
      </c>
      <c r="E44" s="76">
        <v>132.6</v>
      </c>
    </row>
    <row r="45" spans="1:5" x14ac:dyDescent="0.25">
      <c r="A45" s="75">
        <v>45536</v>
      </c>
      <c r="B45" s="76">
        <v>33.39</v>
      </c>
      <c r="D45" s="75">
        <v>45536</v>
      </c>
      <c r="E45" s="76">
        <v>128.43</v>
      </c>
    </row>
    <row r="46" spans="1:5" x14ac:dyDescent="0.25">
      <c r="A46" s="75">
        <v>45566</v>
      </c>
      <c r="B46" s="76">
        <v>33.29</v>
      </c>
      <c r="D46" s="75">
        <v>45566</v>
      </c>
      <c r="E46" s="76">
        <v>126.26</v>
      </c>
    </row>
    <row r="47" spans="1:5" x14ac:dyDescent="0.25">
      <c r="A47" s="75">
        <v>45597</v>
      </c>
      <c r="B47" s="76">
        <v>36.06</v>
      </c>
      <c r="D47" s="75">
        <v>45597</v>
      </c>
      <c r="E47" s="76">
        <v>122.32</v>
      </c>
    </row>
    <row r="48" spans="1:5" x14ac:dyDescent="0.25">
      <c r="A48" s="75">
        <v>45627</v>
      </c>
      <c r="B48" s="76">
        <v>36.19</v>
      </c>
      <c r="D48" s="75">
        <v>45627</v>
      </c>
      <c r="E48" s="76">
        <v>117.27</v>
      </c>
    </row>
    <row r="49" spans="1:5" x14ac:dyDescent="0.25">
      <c r="A49" s="75">
        <v>45658</v>
      </c>
      <c r="B49" s="76">
        <v>36.83</v>
      </c>
      <c r="D49" s="75">
        <v>45658</v>
      </c>
      <c r="E49" s="76">
        <v>123</v>
      </c>
    </row>
    <row r="50" spans="1:5" x14ac:dyDescent="0.25">
      <c r="A50" s="75">
        <v>45689</v>
      </c>
      <c r="B50" s="76">
        <v>35.11</v>
      </c>
      <c r="D50" s="75">
        <v>45689</v>
      </c>
      <c r="E50" s="76">
        <v>120.01</v>
      </c>
    </row>
    <row r="51" spans="1:5" x14ac:dyDescent="0.25">
      <c r="A51" s="75">
        <v>45717</v>
      </c>
      <c r="B51" s="76">
        <v>35.25</v>
      </c>
      <c r="D51" s="75">
        <v>45717</v>
      </c>
      <c r="E51" s="76">
        <v>127.3</v>
      </c>
    </row>
    <row r="52" spans="1:5" x14ac:dyDescent="0.25">
      <c r="A52" s="75">
        <v>45748</v>
      </c>
      <c r="B52" s="76">
        <v>29.11</v>
      </c>
      <c r="D52" s="75">
        <v>45748</v>
      </c>
      <c r="E52" s="76">
        <v>131.63</v>
      </c>
    </row>
    <row r="53" spans="1:5" x14ac:dyDescent="0.25">
      <c r="A53" s="75">
        <v>45778</v>
      </c>
      <c r="B53" s="76">
        <v>29.33</v>
      </c>
      <c r="D53" s="75">
        <v>45778</v>
      </c>
      <c r="E53" s="76">
        <v>133.99</v>
      </c>
    </row>
    <row r="54" spans="1:5" x14ac:dyDescent="0.25">
      <c r="A54" s="75">
        <v>45809</v>
      </c>
      <c r="B54" s="76">
        <v>30.68</v>
      </c>
      <c r="D54" s="75">
        <v>45809</v>
      </c>
      <c r="E54" s="76">
        <v>135.85</v>
      </c>
    </row>
    <row r="55" spans="1:5" x14ac:dyDescent="0.25">
      <c r="A55" s="75">
        <v>45839</v>
      </c>
      <c r="B55" s="76">
        <v>31.92</v>
      </c>
      <c r="D55" s="75">
        <v>45839</v>
      </c>
      <c r="E55" s="76">
        <v>129.88</v>
      </c>
    </row>
    <row r="56" spans="1:5" x14ac:dyDescent="0.25">
      <c r="A56" s="75">
        <v>45870</v>
      </c>
      <c r="B56" s="76">
        <v>31.1</v>
      </c>
      <c r="D56" s="75">
        <v>45870</v>
      </c>
      <c r="E56" s="76">
        <v>138.5</v>
      </c>
    </row>
    <row r="57" spans="1:5" x14ac:dyDescent="0.25">
      <c r="A57" s="75">
        <v>45901</v>
      </c>
      <c r="B57" s="76">
        <v>30.51</v>
      </c>
      <c r="D57" s="75">
        <v>45901</v>
      </c>
      <c r="E57" s="76">
        <v>143.24</v>
      </c>
    </row>
    <row r="58" spans="1:5" x14ac:dyDescent="0.25">
      <c r="A58" s="75">
        <v>45931</v>
      </c>
      <c r="B58" s="76">
        <v>28.85</v>
      </c>
      <c r="D58" s="75">
        <v>45931</v>
      </c>
      <c r="E58" s="76">
        <v>146.41</v>
      </c>
    </row>
    <row r="59" spans="1:5" x14ac:dyDescent="0.25">
      <c r="A59" s="75">
        <v>45962</v>
      </c>
      <c r="B59" s="76">
        <v>30.83</v>
      </c>
      <c r="D59" s="75">
        <v>45962</v>
      </c>
      <c r="E59" s="76">
        <v>155.85</v>
      </c>
    </row>
    <row r="60" spans="1:5" x14ac:dyDescent="0.25">
      <c r="A60" s="75">
        <v>45992</v>
      </c>
      <c r="B60" s="76">
        <v>30.82</v>
      </c>
      <c r="D60" s="75">
        <v>45992</v>
      </c>
      <c r="E60" s="76">
        <v>158</v>
      </c>
    </row>
    <row r="61" spans="1:5" x14ac:dyDescent="0.25">
      <c r="A61" s="75">
        <v>46023</v>
      </c>
      <c r="B61" s="76">
        <v>37.76</v>
      </c>
      <c r="D61" s="75">
        <v>46023</v>
      </c>
      <c r="E61" s="76">
        <v>178.2</v>
      </c>
    </row>
    <row r="62" spans="1:5" x14ac:dyDescent="0.25">
      <c r="A62" s="75">
        <v>46054</v>
      </c>
      <c r="B62" s="76">
        <v>39.33</v>
      </c>
      <c r="D62" s="75">
        <v>46054</v>
      </c>
      <c r="E62" s="76">
        <v>185.16</v>
      </c>
    </row>
  </sheetData>
  <sortState xmlns:xlrd2="http://schemas.microsoft.com/office/spreadsheetml/2017/richdata2" ref="C2:D62">
    <sortCondition ref="C2:C62"/>
  </sortState>
  <mergeCells count="2">
    <mergeCell ref="D1:E1"/>
    <mergeCell ref="A1:B1"/>
  </mergeCells>
  <pageMargins left="0.511811024" right="0.511811024" top="0.78740157499999996" bottom="0.78740157499999996" header="0.31496062000000002" footer="0.31496062000000002"/>
  <pageSetup orientation="portrait" horizontalDpi="1200" verticalDpi="1200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4480-2A02-4693-9568-6CE64E88B558}">
  <dimension ref="A1:W61"/>
  <sheetViews>
    <sheetView zoomScaleNormal="100" workbookViewId="0">
      <pane xSplit="1" topLeftCell="B1" activePane="topRight" state="frozen"/>
      <selection pane="topRight" activeCell="K16" sqref="K16"/>
    </sheetView>
  </sheetViews>
  <sheetFormatPr defaultRowHeight="15" x14ac:dyDescent="0.25"/>
  <cols>
    <col min="1" max="1" width="10.42578125" bestFit="1" customWidth="1"/>
    <col min="2" max="2" width="9.42578125" bestFit="1" customWidth="1"/>
    <col min="3" max="3" width="16.85546875" bestFit="1" customWidth="1"/>
    <col min="4" max="4" width="8.140625" bestFit="1" customWidth="1"/>
    <col min="5" max="5" width="16.42578125" bestFit="1" customWidth="1"/>
    <col min="6" max="6" width="21" bestFit="1" customWidth="1"/>
    <col min="7" max="7" width="19.85546875" bestFit="1" customWidth="1"/>
    <col min="8" max="8" width="13" customWidth="1"/>
    <col min="9" max="9" width="19.85546875" customWidth="1"/>
    <col min="10" max="10" width="33.85546875" bestFit="1" customWidth="1"/>
    <col min="11" max="12" width="13.140625" bestFit="1" customWidth="1"/>
    <col min="13" max="13" width="12.5703125" bestFit="1" customWidth="1"/>
    <col min="14" max="14" width="10.5703125" bestFit="1" customWidth="1"/>
    <col min="15" max="15" width="18" bestFit="1" customWidth="1"/>
    <col min="16" max="16" width="8.140625" bestFit="1" customWidth="1"/>
    <col min="17" max="17" width="16" bestFit="1" customWidth="1"/>
    <col min="18" max="18" width="21" bestFit="1" customWidth="1"/>
    <col min="19" max="19" width="19.85546875" bestFit="1" customWidth="1"/>
    <col min="20" max="20" width="11.7109375" bestFit="1" customWidth="1"/>
    <col min="21" max="21" width="23.5703125" bestFit="1" customWidth="1"/>
    <col min="22" max="22" width="21" bestFit="1" customWidth="1"/>
    <col min="23" max="23" width="19.85546875" bestFit="1" customWidth="1"/>
  </cols>
  <sheetData>
    <row r="1" spans="1:23" x14ac:dyDescent="0.25">
      <c r="A1" t="s">
        <v>1</v>
      </c>
      <c r="B1" s="4" t="s">
        <v>15</v>
      </c>
      <c r="C1" s="4" t="s">
        <v>22</v>
      </c>
      <c r="D1" s="4" t="s">
        <v>21</v>
      </c>
      <c r="E1" s="4" t="s">
        <v>23</v>
      </c>
      <c r="F1" s="4" t="s">
        <v>2</v>
      </c>
      <c r="G1" s="4" t="s">
        <v>3</v>
      </c>
      <c r="H1" s="4" t="s">
        <v>4</v>
      </c>
      <c r="J1" s="4" t="s">
        <v>24</v>
      </c>
      <c r="K1" s="4" t="s">
        <v>5</v>
      </c>
      <c r="L1" s="4" t="s">
        <v>6</v>
      </c>
      <c r="N1" s="4" t="s">
        <v>0</v>
      </c>
      <c r="O1" s="4" t="s">
        <v>25</v>
      </c>
      <c r="P1" s="4" t="s">
        <v>21</v>
      </c>
      <c r="Q1" s="4" t="s">
        <v>26</v>
      </c>
      <c r="R1" s="4" t="s">
        <v>2</v>
      </c>
      <c r="S1" s="4" t="s">
        <v>3</v>
      </c>
      <c r="T1" s="4" t="s">
        <v>4</v>
      </c>
    </row>
    <row r="2" spans="1:23" x14ac:dyDescent="0.25">
      <c r="A2" s="10">
        <v>44256</v>
      </c>
      <c r="B2" s="11">
        <v>10.01</v>
      </c>
      <c r="C2" s="68"/>
      <c r="D2" s="19">
        <f>AVERAGE($C$3:$C$61)</f>
        <v>2.7074777144323024E-2</v>
      </c>
      <c r="E2" s="19">
        <f>$D$2 *12</f>
        <v>0.3248973257318763</v>
      </c>
      <c r="F2" s="19">
        <f>_xlfn.STDEV.P($C$3:$C$61)</f>
        <v>8.6006371236395124E-2</v>
      </c>
      <c r="G2" s="19">
        <f>$F$2*SQRT(12)</f>
        <v>0.29793480951213364</v>
      </c>
      <c r="H2" s="20">
        <f xml:space="preserve"> PERCENTILE($C$3:$C$61,0.05)</f>
        <v>-0.10806392325315367</v>
      </c>
      <c r="J2" s="67">
        <f>_xlfn.COVARIANCE.P($C$3:$C$61,$O$3:$O$61)/ _xlfn.VAR.P($O$3:$O$61)</f>
        <v>0.74102241573312522</v>
      </c>
      <c r="K2" s="20">
        <f>_xlfn.COVARIANCE.P($C$3:$C$61,$O$3:$O$61)</f>
        <v>1.8739733250746316E-3</v>
      </c>
      <c r="L2" s="20">
        <f>CORREL($C$3:$C$61,$O$3:$O$61)</f>
        <v>0.43327811243636261</v>
      </c>
      <c r="N2" s="71">
        <v>112.02</v>
      </c>
      <c r="O2" s="68"/>
      <c r="P2" s="19">
        <f>AVERAGE($O$3:$O$61)</f>
        <v>9.8144792501328303E-3</v>
      </c>
      <c r="Q2" s="19">
        <f>$P$2*12</f>
        <v>0.11777375100159396</v>
      </c>
      <c r="R2" s="19">
        <f>_xlfn.STDEV.P($O$3:$O$61)</f>
        <v>5.0288192901612572E-2</v>
      </c>
      <c r="S2" s="19">
        <f>$R$2*SQRT(12)</f>
        <v>0.17420341025283506</v>
      </c>
      <c r="T2" s="68">
        <f>PERCENTILE($O$3:$O$61, 0.05)</f>
        <v>-6.7790539905551755E-2</v>
      </c>
    </row>
    <row r="3" spans="1:23" x14ac:dyDescent="0.25">
      <c r="A3" s="10">
        <v>44287</v>
      </c>
      <c r="B3" s="12">
        <v>10.130000000000001</v>
      </c>
      <c r="C3" s="69">
        <f t="shared" ref="C3:C34" si="0">(B3/B2) - 1</f>
        <v>1.1988011988012026E-2</v>
      </c>
      <c r="J3" s="13" t="s">
        <v>7</v>
      </c>
      <c r="N3" s="72">
        <v>114.4</v>
      </c>
      <c r="O3" s="69">
        <f t="shared" ref="O3:O34" si="1">(N3/N2)-1</f>
        <v>2.1246206034636783E-2</v>
      </c>
      <c r="P3" s="73"/>
      <c r="Q3" s="73"/>
      <c r="R3" s="73"/>
      <c r="S3" s="73"/>
      <c r="T3" s="74"/>
      <c r="U3" s="1"/>
      <c r="V3" s="2"/>
      <c r="W3" s="1"/>
    </row>
    <row r="4" spans="1:23" x14ac:dyDescent="0.25">
      <c r="A4" s="10">
        <v>44317</v>
      </c>
      <c r="B4" s="11">
        <v>11.53</v>
      </c>
      <c r="C4" s="70">
        <f t="shared" si="0"/>
        <v>0.1382033563672258</v>
      </c>
      <c r="N4" s="71">
        <v>121.25</v>
      </c>
      <c r="O4" s="70">
        <f t="shared" si="1"/>
        <v>5.9877622377622286E-2</v>
      </c>
      <c r="P4" s="73"/>
      <c r="Q4" s="73"/>
      <c r="R4" s="73"/>
      <c r="S4" s="73"/>
      <c r="T4" s="74"/>
      <c r="U4" s="1"/>
      <c r="V4" s="2"/>
      <c r="W4" s="1"/>
    </row>
    <row r="5" spans="1:23" x14ac:dyDescent="0.25">
      <c r="A5" s="10">
        <v>44348</v>
      </c>
      <c r="B5" s="12">
        <v>12.63</v>
      </c>
      <c r="C5" s="69">
        <f t="shared" si="0"/>
        <v>9.5403295750216888E-2</v>
      </c>
      <c r="N5" s="72">
        <v>121.81</v>
      </c>
      <c r="O5" s="69">
        <f t="shared" si="1"/>
        <v>4.6185567010308404E-3</v>
      </c>
      <c r="P5" s="73"/>
      <c r="Q5" s="73"/>
      <c r="R5" s="73"/>
      <c r="S5" s="73"/>
      <c r="T5" s="74"/>
      <c r="U5" s="1"/>
      <c r="V5" s="2"/>
      <c r="W5" s="1"/>
    </row>
    <row r="6" spans="1:23" x14ac:dyDescent="0.25">
      <c r="A6" s="10">
        <v>44378</v>
      </c>
      <c r="B6" s="11">
        <v>11.55</v>
      </c>
      <c r="C6" s="70">
        <f t="shared" si="0"/>
        <v>-8.5510688836104465E-2</v>
      </c>
      <c r="N6" s="71">
        <v>117.11</v>
      </c>
      <c r="O6" s="70">
        <f t="shared" si="1"/>
        <v>-3.8584681060668258E-2</v>
      </c>
      <c r="P6" s="73"/>
      <c r="Q6" s="73"/>
      <c r="R6" s="73"/>
      <c r="S6" s="73"/>
      <c r="T6" s="74"/>
      <c r="U6" s="1"/>
      <c r="V6" s="2"/>
      <c r="W6" s="1"/>
    </row>
    <row r="7" spans="1:23" x14ac:dyDescent="0.25">
      <c r="A7" s="10">
        <v>44409</v>
      </c>
      <c r="B7" s="12">
        <v>12.36</v>
      </c>
      <c r="C7" s="69">
        <f t="shared" si="0"/>
        <v>7.0129870129870042E-2</v>
      </c>
      <c r="N7" s="72">
        <v>114.08</v>
      </c>
      <c r="O7" s="69">
        <f t="shared" si="1"/>
        <v>-2.5873110750576411E-2</v>
      </c>
      <c r="P7" s="73"/>
      <c r="Q7" s="73"/>
      <c r="R7" s="73"/>
      <c r="S7" s="73"/>
      <c r="T7" s="74"/>
      <c r="U7" s="1"/>
      <c r="V7" s="2"/>
      <c r="W7" s="1"/>
    </row>
    <row r="8" spans="1:23" x14ac:dyDescent="0.25">
      <c r="A8" s="10">
        <v>44440</v>
      </c>
      <c r="B8" s="11">
        <v>12.38</v>
      </c>
      <c r="C8" s="70">
        <f t="shared" si="0"/>
        <v>1.6181229773464256E-3</v>
      </c>
      <c r="N8" s="71">
        <v>106.49</v>
      </c>
      <c r="O8" s="70">
        <f t="shared" si="1"/>
        <v>-6.6532258064516125E-2</v>
      </c>
      <c r="P8" s="73"/>
      <c r="Q8" s="73"/>
      <c r="R8" s="73"/>
      <c r="S8" s="73"/>
      <c r="T8" s="74"/>
      <c r="U8" s="1"/>
      <c r="V8" s="2"/>
      <c r="W8" s="1"/>
    </row>
    <row r="9" spans="1:23" x14ac:dyDescent="0.25">
      <c r="A9" s="10">
        <v>44470</v>
      </c>
      <c r="B9" s="12">
        <v>12.39</v>
      </c>
      <c r="C9" s="69">
        <f t="shared" si="0"/>
        <v>8.077544426494665E-4</v>
      </c>
      <c r="N9" s="72">
        <v>99.68</v>
      </c>
      <c r="O9" s="69">
        <f t="shared" si="1"/>
        <v>-6.3949666635364721E-2</v>
      </c>
      <c r="P9" s="73"/>
      <c r="Q9" s="73"/>
      <c r="R9" s="73"/>
      <c r="S9" s="73"/>
      <c r="T9" s="74"/>
      <c r="U9" s="1"/>
      <c r="V9" s="2"/>
      <c r="W9" s="1"/>
    </row>
    <row r="10" spans="1:23" x14ac:dyDescent="0.25">
      <c r="A10" s="10">
        <v>44501</v>
      </c>
      <c r="B10" s="11">
        <v>13.38</v>
      </c>
      <c r="C10" s="70">
        <f t="shared" si="0"/>
        <v>7.9903147699757815E-2</v>
      </c>
      <c r="N10" s="71">
        <v>98.35</v>
      </c>
      <c r="O10" s="70">
        <f t="shared" si="1"/>
        <v>-1.3342696629213613E-2</v>
      </c>
      <c r="P10" s="73"/>
      <c r="Q10" s="73"/>
      <c r="R10" s="73"/>
      <c r="S10" s="73"/>
      <c r="T10" s="74"/>
      <c r="U10" s="1"/>
      <c r="V10" s="2"/>
      <c r="W10" s="1"/>
    </row>
    <row r="11" spans="1:23" x14ac:dyDescent="0.25">
      <c r="A11" s="10">
        <v>44531</v>
      </c>
      <c r="B11" s="12">
        <v>14.01</v>
      </c>
      <c r="C11" s="69">
        <f t="shared" si="0"/>
        <v>4.7085201793721998E-2</v>
      </c>
      <c r="N11" s="72">
        <v>100.8</v>
      </c>
      <c r="O11" s="69">
        <f t="shared" si="1"/>
        <v>2.4911032028469782E-2</v>
      </c>
      <c r="P11" s="73"/>
      <c r="Q11" s="73"/>
      <c r="R11" s="73"/>
      <c r="S11" s="73"/>
      <c r="T11" s="74"/>
      <c r="U11" s="1"/>
      <c r="V11" s="2"/>
      <c r="W11" s="1"/>
    </row>
    <row r="12" spans="1:23" x14ac:dyDescent="0.25">
      <c r="A12" s="10">
        <v>44562</v>
      </c>
      <c r="B12" s="11">
        <v>15.93</v>
      </c>
      <c r="C12" s="70">
        <f t="shared" si="0"/>
        <v>0.13704496788008558</v>
      </c>
      <c r="N12" s="71">
        <v>107.98</v>
      </c>
      <c r="O12" s="70">
        <f t="shared" si="1"/>
        <v>7.1230158730158699E-2</v>
      </c>
      <c r="P12" s="73"/>
      <c r="Q12" s="73"/>
      <c r="R12" s="73"/>
      <c r="S12" s="73"/>
      <c r="T12" s="74"/>
      <c r="U12" s="1"/>
      <c r="V12" s="2"/>
      <c r="W12" s="1"/>
    </row>
    <row r="13" spans="1:23" x14ac:dyDescent="0.25">
      <c r="A13" s="10">
        <v>44593</v>
      </c>
      <c r="B13" s="12">
        <v>16.739999999999998</v>
      </c>
      <c r="C13" s="69">
        <f t="shared" si="0"/>
        <v>5.0847457627118509E-2</v>
      </c>
      <c r="N13" s="72">
        <v>108.9</v>
      </c>
      <c r="O13" s="69">
        <f t="shared" si="1"/>
        <v>8.5200963141323083E-3</v>
      </c>
      <c r="P13" s="73"/>
      <c r="Q13" s="73"/>
      <c r="R13" s="73"/>
      <c r="S13" s="73"/>
      <c r="T13" s="74"/>
      <c r="U13" s="1"/>
      <c r="V13" s="2"/>
      <c r="W13" s="1"/>
    </row>
    <row r="14" spans="1:23" x14ac:dyDescent="0.25">
      <c r="A14" s="10">
        <v>44621</v>
      </c>
      <c r="B14" s="11">
        <v>16.47</v>
      </c>
      <c r="C14" s="70">
        <f t="shared" si="0"/>
        <v>-1.6129032258064502E-2</v>
      </c>
      <c r="N14" s="71">
        <v>115.6</v>
      </c>
      <c r="O14" s="70">
        <f t="shared" si="1"/>
        <v>6.1524334251606971E-2</v>
      </c>
      <c r="P14" s="73"/>
      <c r="Q14" s="73"/>
      <c r="R14" s="73"/>
      <c r="S14" s="73"/>
      <c r="T14" s="74"/>
      <c r="U14" s="1"/>
      <c r="V14" s="2"/>
      <c r="W14" s="1"/>
    </row>
    <row r="15" spans="1:23" x14ac:dyDescent="0.25">
      <c r="A15" s="10">
        <v>44652</v>
      </c>
      <c r="B15" s="12">
        <v>16.260000000000002</v>
      </c>
      <c r="C15" s="69">
        <f t="shared" si="0"/>
        <v>-1.2750455373406022E-2</v>
      </c>
      <c r="N15" s="72">
        <v>103.4</v>
      </c>
      <c r="O15" s="69">
        <f t="shared" si="1"/>
        <v>-0.10553633217993075</v>
      </c>
      <c r="P15" s="73"/>
      <c r="Q15" s="73"/>
      <c r="R15" s="73"/>
      <c r="S15" s="73"/>
      <c r="T15" s="74"/>
      <c r="U15" s="1"/>
      <c r="V15" s="2"/>
      <c r="W15" s="1"/>
    </row>
    <row r="16" spans="1:23" x14ac:dyDescent="0.25">
      <c r="A16" s="10">
        <v>44682</v>
      </c>
      <c r="B16" s="11">
        <v>17.989999999999998</v>
      </c>
      <c r="C16" s="70">
        <f t="shared" si="0"/>
        <v>0.10639606396063939</v>
      </c>
      <c r="N16" s="71">
        <v>107.18</v>
      </c>
      <c r="O16" s="70">
        <f t="shared" si="1"/>
        <v>3.6557059961315197E-2</v>
      </c>
      <c r="P16" s="73"/>
      <c r="Q16" s="73"/>
      <c r="R16" s="73"/>
      <c r="S16" s="73"/>
      <c r="T16" s="74"/>
      <c r="U16" s="1"/>
      <c r="V16" s="2"/>
      <c r="W16" s="1"/>
    </row>
    <row r="17" spans="1:23" x14ac:dyDescent="0.25">
      <c r="A17" s="10">
        <v>44713</v>
      </c>
      <c r="B17" s="12">
        <v>16.71</v>
      </c>
      <c r="C17" s="69">
        <f t="shared" si="0"/>
        <v>-7.1150639244024316E-2</v>
      </c>
      <c r="N17" s="72">
        <v>95</v>
      </c>
      <c r="O17" s="69">
        <f t="shared" si="1"/>
        <v>-0.1136406045904087</v>
      </c>
      <c r="P17" s="73"/>
      <c r="Q17" s="73"/>
      <c r="R17" s="73"/>
      <c r="S17" s="73"/>
      <c r="T17" s="74"/>
      <c r="U17" s="1"/>
      <c r="V17" s="2"/>
      <c r="W17" s="1"/>
    </row>
    <row r="18" spans="1:23" x14ac:dyDescent="0.25">
      <c r="A18" s="10">
        <v>44743</v>
      </c>
      <c r="B18" s="11">
        <v>20.43</v>
      </c>
      <c r="C18" s="70">
        <f t="shared" si="0"/>
        <v>0.2226211849192099</v>
      </c>
      <c r="N18" s="71">
        <v>99.3</v>
      </c>
      <c r="O18" s="70">
        <f t="shared" si="1"/>
        <v>4.5263157894736894E-2</v>
      </c>
      <c r="P18" s="73"/>
      <c r="Q18" s="73"/>
      <c r="R18" s="73"/>
      <c r="S18" s="73"/>
      <c r="T18" s="74"/>
      <c r="U18" s="1"/>
      <c r="V18" s="2"/>
      <c r="W18" s="1"/>
    </row>
    <row r="19" spans="1:23" x14ac:dyDescent="0.25">
      <c r="A19" s="10">
        <v>44774</v>
      </c>
      <c r="B19" s="12">
        <v>24.42</v>
      </c>
      <c r="C19" s="69">
        <f t="shared" si="0"/>
        <v>0.19530102790014703</v>
      </c>
      <c r="N19" s="72">
        <v>105.83</v>
      </c>
      <c r="O19" s="69">
        <f t="shared" si="1"/>
        <v>6.5760322255790538E-2</v>
      </c>
      <c r="P19" s="73"/>
      <c r="Q19" s="73"/>
      <c r="R19" s="73"/>
      <c r="S19" s="73"/>
      <c r="T19" s="74"/>
      <c r="U19" s="1"/>
      <c r="V19" s="2"/>
      <c r="W19" s="1"/>
    </row>
    <row r="20" spans="1:23" x14ac:dyDescent="0.25">
      <c r="A20" s="10">
        <v>44805</v>
      </c>
      <c r="B20" s="11">
        <v>21.9</v>
      </c>
      <c r="C20" s="70">
        <f t="shared" si="0"/>
        <v>-0.10319410319410327</v>
      </c>
      <c r="N20" s="71">
        <v>106.46</v>
      </c>
      <c r="O20" s="70">
        <f t="shared" si="1"/>
        <v>5.9529433997920211E-3</v>
      </c>
      <c r="P20" s="73"/>
      <c r="Q20" s="73"/>
      <c r="R20" s="73"/>
      <c r="S20" s="73"/>
      <c r="T20" s="74"/>
      <c r="U20" s="1"/>
      <c r="V20" s="2"/>
      <c r="W20" s="1"/>
    </row>
    <row r="21" spans="1:23" x14ac:dyDescent="0.25">
      <c r="A21" s="10">
        <v>44835</v>
      </c>
      <c r="B21" s="12">
        <v>21.9</v>
      </c>
      <c r="C21" s="69">
        <f t="shared" si="0"/>
        <v>0</v>
      </c>
      <c r="N21" s="72">
        <v>112.15</v>
      </c>
      <c r="O21" s="69">
        <f t="shared" si="1"/>
        <v>5.3447304151794217E-2</v>
      </c>
      <c r="P21" s="73"/>
      <c r="Q21" s="73"/>
      <c r="R21" s="73"/>
      <c r="S21" s="73"/>
      <c r="T21" s="74"/>
      <c r="U21" s="1"/>
      <c r="V21" s="2"/>
      <c r="W21" s="1"/>
    </row>
    <row r="22" spans="1:23" x14ac:dyDescent="0.25">
      <c r="A22" s="10">
        <v>44866</v>
      </c>
      <c r="B22" s="11">
        <v>22.39</v>
      </c>
      <c r="C22" s="70">
        <f t="shared" si="0"/>
        <v>2.2374429223744441E-2</v>
      </c>
      <c r="N22" s="71">
        <v>108.58</v>
      </c>
      <c r="O22" s="70">
        <f t="shared" si="1"/>
        <v>-3.1832367365136061E-2</v>
      </c>
      <c r="P22" s="73"/>
      <c r="Q22" s="73"/>
      <c r="R22" s="73"/>
      <c r="S22" s="73"/>
      <c r="T22" s="74"/>
      <c r="U22" s="1"/>
      <c r="V22" s="2"/>
      <c r="W22" s="1"/>
    </row>
    <row r="23" spans="1:23" x14ac:dyDescent="0.25">
      <c r="A23" s="10">
        <v>44896</v>
      </c>
      <c r="B23" s="12">
        <v>20.58</v>
      </c>
      <c r="C23" s="69">
        <f t="shared" si="0"/>
        <v>-8.0839660562751381E-2</v>
      </c>
      <c r="N23" s="72">
        <v>105.95</v>
      </c>
      <c r="O23" s="69">
        <f t="shared" si="1"/>
        <v>-2.4221771965371119E-2</v>
      </c>
      <c r="P23" s="73"/>
      <c r="Q23" s="73"/>
      <c r="R23" s="73"/>
      <c r="S23" s="73"/>
      <c r="T23" s="74"/>
      <c r="U23" s="1"/>
      <c r="V23" s="2"/>
      <c r="W23" s="1"/>
    </row>
    <row r="24" spans="1:23" x14ac:dyDescent="0.25">
      <c r="A24" s="10">
        <v>44927</v>
      </c>
      <c r="B24" s="11">
        <v>21.89</v>
      </c>
      <c r="C24" s="70">
        <f t="shared" si="0"/>
        <v>6.3654033041788294E-2</v>
      </c>
      <c r="N24" s="71">
        <v>109.84</v>
      </c>
      <c r="O24" s="70">
        <f t="shared" si="1"/>
        <v>3.6715431807456289E-2</v>
      </c>
      <c r="P24" s="73"/>
      <c r="Q24" s="73"/>
      <c r="R24" s="73"/>
      <c r="S24" s="73"/>
      <c r="T24" s="74"/>
      <c r="U24" s="1"/>
      <c r="V24" s="2"/>
      <c r="W24" s="1"/>
    </row>
    <row r="25" spans="1:23" x14ac:dyDescent="0.25">
      <c r="A25" s="10">
        <v>44958</v>
      </c>
      <c r="B25" s="12">
        <v>21.2</v>
      </c>
      <c r="C25" s="69">
        <f t="shared" si="0"/>
        <v>-3.1521242576519004E-2</v>
      </c>
      <c r="N25" s="72">
        <v>101.15</v>
      </c>
      <c r="O25" s="69">
        <f t="shared" si="1"/>
        <v>-7.9115076474872481E-2</v>
      </c>
      <c r="P25" s="73"/>
      <c r="Q25" s="73"/>
      <c r="R25" s="73"/>
      <c r="S25" s="73"/>
      <c r="T25" s="74"/>
      <c r="U25" s="1"/>
      <c r="V25" s="2"/>
      <c r="W25" s="1"/>
    </row>
    <row r="26" spans="1:23" x14ac:dyDescent="0.25">
      <c r="A26" s="10">
        <v>44986</v>
      </c>
      <c r="B26" s="11">
        <v>19.690000000000001</v>
      </c>
      <c r="C26" s="70">
        <f t="shared" si="0"/>
        <v>-7.1226415094339579E-2</v>
      </c>
      <c r="N26" s="71">
        <v>98.49</v>
      </c>
      <c r="O26" s="70">
        <f t="shared" si="1"/>
        <v>-2.629757785467135E-2</v>
      </c>
      <c r="P26" s="73"/>
      <c r="Q26" s="73"/>
      <c r="R26" s="73"/>
      <c r="S26" s="73"/>
      <c r="T26" s="74"/>
      <c r="U26" s="1"/>
      <c r="V26" s="2"/>
      <c r="W26" s="1"/>
    </row>
    <row r="27" spans="1:23" x14ac:dyDescent="0.25">
      <c r="A27" s="10">
        <v>45017</v>
      </c>
      <c r="B27" s="12">
        <v>22.24</v>
      </c>
      <c r="C27" s="69">
        <f t="shared" si="0"/>
        <v>0.12950736414423547</v>
      </c>
      <c r="N27" s="72">
        <v>100.9</v>
      </c>
      <c r="O27" s="69">
        <f t="shared" si="1"/>
        <v>2.4469489288252655E-2</v>
      </c>
      <c r="P27" s="73"/>
      <c r="Q27" s="73"/>
      <c r="R27" s="73"/>
      <c r="S27" s="73"/>
      <c r="T27" s="74"/>
      <c r="U27" s="1"/>
      <c r="V27" s="2"/>
      <c r="W27" s="1"/>
    </row>
    <row r="28" spans="1:23" x14ac:dyDescent="0.25">
      <c r="A28" s="10">
        <v>45047</v>
      </c>
      <c r="B28" s="11">
        <v>24.51</v>
      </c>
      <c r="C28" s="70">
        <f t="shared" si="0"/>
        <v>0.10206834532374121</v>
      </c>
      <c r="N28" s="71">
        <v>104.84</v>
      </c>
      <c r="O28" s="70">
        <f t="shared" si="1"/>
        <v>3.9048562933597486E-2</v>
      </c>
      <c r="P28" s="73"/>
      <c r="Q28" s="73"/>
      <c r="R28" s="73"/>
      <c r="S28" s="73"/>
      <c r="T28" s="74"/>
      <c r="U28" s="1"/>
      <c r="V28" s="2"/>
      <c r="W28" s="1"/>
    </row>
    <row r="29" spans="1:23" x14ac:dyDescent="0.25">
      <c r="A29" s="10">
        <v>45078</v>
      </c>
      <c r="B29" s="12">
        <v>29.53</v>
      </c>
      <c r="C29" s="69">
        <f t="shared" si="0"/>
        <v>0.20481436148510812</v>
      </c>
      <c r="N29" s="72">
        <v>114.17</v>
      </c>
      <c r="O29" s="69">
        <f t="shared" si="1"/>
        <v>8.8992750858450931E-2</v>
      </c>
      <c r="P29" s="73"/>
      <c r="Q29" s="73"/>
      <c r="R29" s="73"/>
      <c r="S29" s="73"/>
      <c r="T29" s="74"/>
      <c r="U29" s="1"/>
      <c r="V29" s="2"/>
      <c r="W29" s="1"/>
    </row>
    <row r="30" spans="1:23" x14ac:dyDescent="0.25">
      <c r="A30" s="10">
        <v>45108</v>
      </c>
      <c r="B30" s="11">
        <v>31.11</v>
      </c>
      <c r="C30" s="70">
        <f t="shared" si="0"/>
        <v>5.3504910260751659E-2</v>
      </c>
      <c r="N30" s="71">
        <v>117.95</v>
      </c>
      <c r="O30" s="70">
        <f t="shared" si="1"/>
        <v>3.3108522378908711E-2</v>
      </c>
      <c r="P30" s="73"/>
      <c r="Q30" s="73"/>
      <c r="R30" s="73"/>
      <c r="S30" s="73"/>
      <c r="T30" s="74"/>
      <c r="U30" s="1"/>
      <c r="V30" s="2"/>
      <c r="W30" s="1"/>
    </row>
    <row r="31" spans="1:23" x14ac:dyDescent="0.25">
      <c r="A31" s="10">
        <v>45139</v>
      </c>
      <c r="B31" s="12">
        <v>31.94</v>
      </c>
      <c r="C31" s="69">
        <f t="shared" si="0"/>
        <v>2.6679524268723886E-2</v>
      </c>
      <c r="N31" s="72">
        <v>112.31</v>
      </c>
      <c r="O31" s="69">
        <f t="shared" si="1"/>
        <v>-4.7816871555743989E-2</v>
      </c>
      <c r="P31" s="73"/>
      <c r="Q31" s="73"/>
      <c r="R31" s="73"/>
      <c r="S31" s="73"/>
      <c r="T31" s="74"/>
      <c r="U31" s="1"/>
      <c r="V31" s="2"/>
      <c r="W31" s="1"/>
    </row>
    <row r="32" spans="1:23" x14ac:dyDescent="0.25">
      <c r="A32" s="10">
        <v>45170</v>
      </c>
      <c r="B32" s="11">
        <v>34.64</v>
      </c>
      <c r="C32" s="70">
        <f t="shared" si="0"/>
        <v>8.4533500313086929E-2</v>
      </c>
      <c r="N32" s="71">
        <v>113.15</v>
      </c>
      <c r="O32" s="70">
        <f t="shared" si="1"/>
        <v>7.4792983705813665E-3</v>
      </c>
      <c r="P32" s="73"/>
      <c r="Q32" s="73"/>
      <c r="R32" s="73"/>
      <c r="S32" s="73"/>
      <c r="T32" s="74"/>
      <c r="U32" s="1"/>
      <c r="V32" s="2"/>
      <c r="W32" s="1"/>
    </row>
    <row r="33" spans="1:23" x14ac:dyDescent="0.25">
      <c r="A33" s="10">
        <v>45200</v>
      </c>
      <c r="B33" s="12">
        <v>34.74</v>
      </c>
      <c r="C33" s="69">
        <f t="shared" si="0"/>
        <v>2.8868360277136684E-3</v>
      </c>
      <c r="N33" s="72">
        <v>109.62</v>
      </c>
      <c r="O33" s="69">
        <f t="shared" si="1"/>
        <v>-3.1197525408749427E-2</v>
      </c>
      <c r="P33" s="73"/>
      <c r="Q33" s="73"/>
      <c r="R33" s="73"/>
      <c r="S33" s="73"/>
      <c r="T33" s="74"/>
      <c r="U33" s="1"/>
      <c r="V33" s="2"/>
      <c r="W33" s="1"/>
    </row>
    <row r="34" spans="1:23" x14ac:dyDescent="0.25">
      <c r="A34" s="10">
        <v>45231</v>
      </c>
      <c r="B34" s="11">
        <v>35.909999999999997</v>
      </c>
      <c r="C34" s="70">
        <f t="shared" si="0"/>
        <v>3.3678756476683835E-2</v>
      </c>
      <c r="N34" s="71">
        <v>123.57</v>
      </c>
      <c r="O34" s="70">
        <f t="shared" si="1"/>
        <v>0.12725779967159268</v>
      </c>
      <c r="P34" s="73"/>
      <c r="Q34" s="73"/>
      <c r="R34" s="73"/>
      <c r="S34" s="73"/>
      <c r="T34" s="74"/>
      <c r="U34" s="1"/>
      <c r="V34" s="2"/>
      <c r="W34" s="1"/>
    </row>
    <row r="35" spans="1:23" x14ac:dyDescent="0.25">
      <c r="A35" s="10">
        <v>45261</v>
      </c>
      <c r="B35" s="12">
        <v>37.24</v>
      </c>
      <c r="C35" s="69">
        <f t="shared" ref="C35:C61" si="2">(B35/B34) - 1</f>
        <v>3.7037037037037202E-2</v>
      </c>
      <c r="N35" s="72">
        <v>130.38999999999999</v>
      </c>
      <c r="O35" s="69">
        <f t="shared" ref="O35:O61" si="3">(N35/N34)-1</f>
        <v>5.5191389495832244E-2</v>
      </c>
      <c r="P35" s="73"/>
      <c r="Q35" s="73"/>
      <c r="R35" s="73"/>
      <c r="S35" s="73"/>
      <c r="T35" s="74"/>
      <c r="U35" s="1"/>
      <c r="V35" s="2"/>
      <c r="W35" s="1"/>
    </row>
    <row r="36" spans="1:23" x14ac:dyDescent="0.25">
      <c r="A36" s="10">
        <v>45292</v>
      </c>
      <c r="B36" s="11">
        <v>40.450000000000003</v>
      </c>
      <c r="C36" s="70">
        <f t="shared" si="2"/>
        <v>8.6197636949516765E-2</v>
      </c>
      <c r="N36" s="71">
        <v>123.95</v>
      </c>
      <c r="O36" s="70">
        <f t="shared" si="3"/>
        <v>-4.9390290666462056E-2</v>
      </c>
      <c r="P36" s="73"/>
      <c r="Q36" s="73"/>
      <c r="R36" s="73"/>
      <c r="S36" s="73"/>
      <c r="T36" s="74"/>
      <c r="U36" s="1"/>
      <c r="V36" s="2"/>
      <c r="W36" s="1"/>
    </row>
    <row r="37" spans="1:23" x14ac:dyDescent="0.25">
      <c r="A37" s="10">
        <v>45323</v>
      </c>
      <c r="B37" s="12">
        <v>40.14</v>
      </c>
      <c r="C37" s="69">
        <f t="shared" si="2"/>
        <v>-7.6637824474660166E-3</v>
      </c>
      <c r="N37" s="72">
        <v>125.25</v>
      </c>
      <c r="O37" s="69">
        <f t="shared" si="3"/>
        <v>1.0488100040338733E-2</v>
      </c>
      <c r="P37" s="73"/>
      <c r="Q37" s="73"/>
      <c r="R37" s="73"/>
      <c r="S37" s="73"/>
      <c r="T37" s="74"/>
      <c r="U37" s="1"/>
      <c r="V37" s="2"/>
      <c r="W37" s="1"/>
    </row>
    <row r="38" spans="1:23" x14ac:dyDescent="0.25">
      <c r="A38" s="10">
        <v>45352</v>
      </c>
      <c r="B38" s="11">
        <v>33.950000000000003</v>
      </c>
      <c r="C38" s="70">
        <f t="shared" si="2"/>
        <v>-0.1542102640757349</v>
      </c>
      <c r="N38" s="71">
        <v>124.33</v>
      </c>
      <c r="O38" s="70">
        <f t="shared" si="3"/>
        <v>-7.3453093812375636E-3</v>
      </c>
      <c r="P38" s="73"/>
      <c r="Q38" s="73"/>
      <c r="R38" s="73"/>
      <c r="S38" s="73"/>
      <c r="T38" s="74"/>
      <c r="U38" s="1"/>
      <c r="V38" s="2"/>
      <c r="W38" s="1"/>
    </row>
    <row r="39" spans="1:23" x14ac:dyDescent="0.25">
      <c r="A39" s="10">
        <v>45383</v>
      </c>
      <c r="B39" s="12">
        <v>39.21</v>
      </c>
      <c r="C39" s="69">
        <f t="shared" si="2"/>
        <v>0.15493372606774658</v>
      </c>
      <c r="N39" s="72">
        <v>122.38</v>
      </c>
      <c r="O39" s="69">
        <f t="shared" si="3"/>
        <v>-1.5684066596959756E-2</v>
      </c>
      <c r="P39" s="73"/>
      <c r="Q39" s="73"/>
      <c r="R39" s="73"/>
      <c r="S39" s="73"/>
      <c r="T39" s="74"/>
      <c r="U39" s="1"/>
      <c r="V39" s="2"/>
      <c r="W39" s="1"/>
    </row>
    <row r="40" spans="1:23" x14ac:dyDescent="0.25">
      <c r="A40" s="10">
        <v>45413</v>
      </c>
      <c r="B40" s="11">
        <v>36.67</v>
      </c>
      <c r="C40" s="70">
        <f t="shared" si="2"/>
        <v>-6.4779393011986763E-2</v>
      </c>
      <c r="N40" s="71">
        <v>118.66</v>
      </c>
      <c r="O40" s="70">
        <f t="shared" si="3"/>
        <v>-3.0397123713024943E-2</v>
      </c>
      <c r="P40" s="73"/>
      <c r="Q40" s="73"/>
      <c r="R40" s="73"/>
      <c r="S40" s="73"/>
      <c r="T40" s="74"/>
      <c r="U40" s="1"/>
      <c r="V40" s="2"/>
      <c r="W40" s="1"/>
    </row>
    <row r="41" spans="1:23" x14ac:dyDescent="0.25">
      <c r="A41" s="10">
        <v>45444</v>
      </c>
      <c r="B41" s="12">
        <v>37</v>
      </c>
      <c r="C41" s="69">
        <f t="shared" si="2"/>
        <v>8.9991818925552192E-3</v>
      </c>
      <c r="N41" s="72">
        <v>120.38</v>
      </c>
      <c r="O41" s="69">
        <f t="shared" si="3"/>
        <v>1.4495196359346041E-2</v>
      </c>
      <c r="P41" s="73"/>
      <c r="Q41" s="73"/>
      <c r="R41" s="73"/>
      <c r="S41" s="73"/>
      <c r="T41" s="74"/>
      <c r="U41" s="1"/>
      <c r="V41" s="2"/>
      <c r="W41" s="1"/>
    </row>
    <row r="42" spans="1:23" x14ac:dyDescent="0.25">
      <c r="A42" s="10">
        <v>45474</v>
      </c>
      <c r="B42" s="11">
        <v>36.369999999999997</v>
      </c>
      <c r="C42" s="70">
        <f t="shared" si="2"/>
        <v>-1.7027027027027075E-2</v>
      </c>
      <c r="N42" s="71">
        <v>124.04</v>
      </c>
      <c r="O42" s="70">
        <f t="shared" si="3"/>
        <v>3.0403721548430074E-2</v>
      </c>
      <c r="P42" s="73"/>
      <c r="Q42" s="73"/>
      <c r="R42" s="73"/>
      <c r="S42" s="73"/>
      <c r="T42" s="74"/>
      <c r="U42" s="1"/>
      <c r="V42" s="2"/>
      <c r="W42" s="1"/>
    </row>
    <row r="43" spans="1:23" x14ac:dyDescent="0.25">
      <c r="A43" s="10">
        <v>45505</v>
      </c>
      <c r="B43" s="12">
        <v>39.369999999999997</v>
      </c>
      <c r="C43" s="69">
        <f t="shared" si="2"/>
        <v>8.2485565026120478E-2</v>
      </c>
      <c r="N43" s="72">
        <v>132.6</v>
      </c>
      <c r="O43" s="69">
        <f t="shared" si="3"/>
        <v>6.9009996775233784E-2</v>
      </c>
      <c r="P43" s="73"/>
      <c r="Q43" s="73"/>
      <c r="R43" s="73"/>
      <c r="S43" s="73"/>
      <c r="T43" s="74"/>
      <c r="U43" s="1"/>
      <c r="V43" s="2"/>
      <c r="W43" s="1"/>
    </row>
    <row r="44" spans="1:23" x14ac:dyDescent="0.25">
      <c r="A44" s="10">
        <v>45536</v>
      </c>
      <c r="B44" s="11">
        <v>33.39</v>
      </c>
      <c r="C44" s="70">
        <f t="shared" si="2"/>
        <v>-0.1518923037846075</v>
      </c>
      <c r="N44" s="71">
        <v>128.43</v>
      </c>
      <c r="O44" s="70">
        <f t="shared" si="3"/>
        <v>-3.1447963800904866E-2</v>
      </c>
      <c r="P44" s="73"/>
      <c r="Q44" s="73"/>
      <c r="R44" s="73"/>
      <c r="S44" s="73"/>
      <c r="T44" s="74"/>
      <c r="U44" s="1"/>
      <c r="V44" s="2"/>
      <c r="W44" s="1"/>
    </row>
    <row r="45" spans="1:23" x14ac:dyDescent="0.25">
      <c r="A45" s="10">
        <v>45566</v>
      </c>
      <c r="B45" s="12">
        <v>33.29</v>
      </c>
      <c r="C45" s="69">
        <f t="shared" si="2"/>
        <v>-2.994908655286066E-3</v>
      </c>
      <c r="N45" s="72">
        <v>126.26</v>
      </c>
      <c r="O45" s="69">
        <f t="shared" si="3"/>
        <v>-1.6896363777933465E-2</v>
      </c>
      <c r="P45" s="73"/>
      <c r="Q45" s="73"/>
      <c r="R45" s="73"/>
      <c r="S45" s="73"/>
      <c r="T45" s="74"/>
      <c r="U45" s="1"/>
      <c r="V45" s="2"/>
      <c r="W45" s="1"/>
    </row>
    <row r="46" spans="1:23" x14ac:dyDescent="0.25">
      <c r="A46" s="10">
        <v>45597</v>
      </c>
      <c r="B46" s="11">
        <v>36.06</v>
      </c>
      <c r="C46" s="70">
        <f t="shared" si="2"/>
        <v>8.3208170621808408E-2</v>
      </c>
      <c r="N46" s="71">
        <v>122.32</v>
      </c>
      <c r="O46" s="70">
        <f t="shared" si="3"/>
        <v>-3.1205449073340774E-2</v>
      </c>
      <c r="P46" s="73"/>
      <c r="Q46" s="73"/>
      <c r="R46" s="73"/>
      <c r="S46" s="73"/>
      <c r="T46" s="74"/>
      <c r="U46" s="1"/>
      <c r="V46" s="2"/>
      <c r="W46" s="1"/>
    </row>
    <row r="47" spans="1:23" x14ac:dyDescent="0.25">
      <c r="A47" s="10">
        <v>45627</v>
      </c>
      <c r="B47" s="12">
        <v>36.19</v>
      </c>
      <c r="C47" s="69">
        <f t="shared" si="2"/>
        <v>3.605102606766275E-3</v>
      </c>
      <c r="N47" s="72">
        <v>117.27</v>
      </c>
      <c r="O47" s="69">
        <f t="shared" si="3"/>
        <v>-4.1285153695225563E-2</v>
      </c>
      <c r="P47" s="73"/>
      <c r="Q47" s="73"/>
      <c r="R47" s="73"/>
      <c r="S47" s="73"/>
      <c r="T47" s="74"/>
      <c r="U47" s="1"/>
      <c r="V47" s="2"/>
      <c r="W47" s="1"/>
    </row>
    <row r="48" spans="1:23" x14ac:dyDescent="0.25">
      <c r="A48" s="10">
        <v>45658</v>
      </c>
      <c r="B48" s="11">
        <v>36.83</v>
      </c>
      <c r="C48" s="70">
        <f t="shared" si="2"/>
        <v>1.7684443216358092E-2</v>
      </c>
      <c r="N48" s="71">
        <v>123</v>
      </c>
      <c r="O48" s="70">
        <f t="shared" si="3"/>
        <v>4.886160143259155E-2</v>
      </c>
      <c r="P48" s="73"/>
      <c r="Q48" s="73"/>
      <c r="R48" s="73"/>
      <c r="S48" s="73"/>
      <c r="T48" s="74"/>
      <c r="U48" s="1"/>
      <c r="V48" s="2"/>
      <c r="W48" s="1"/>
    </row>
    <row r="49" spans="1:23" x14ac:dyDescent="0.25">
      <c r="A49" s="10">
        <v>45689</v>
      </c>
      <c r="B49" s="12">
        <v>35.11</v>
      </c>
      <c r="C49" s="69">
        <f t="shared" si="2"/>
        <v>-4.6701058919359162E-2</v>
      </c>
      <c r="N49" s="72">
        <v>120.01</v>
      </c>
      <c r="O49" s="69">
        <f t="shared" si="3"/>
        <v>-2.4308943089430879E-2</v>
      </c>
      <c r="P49" s="73"/>
      <c r="Q49" s="73"/>
      <c r="R49" s="73"/>
      <c r="S49" s="73"/>
      <c r="T49" s="74"/>
      <c r="U49" s="1"/>
      <c r="V49" s="2"/>
      <c r="W49" s="1"/>
    </row>
    <row r="50" spans="1:23" x14ac:dyDescent="0.25">
      <c r="A50" s="10">
        <v>45717</v>
      </c>
      <c r="B50" s="11">
        <v>35.25</v>
      </c>
      <c r="C50" s="70">
        <f t="shared" si="2"/>
        <v>3.9874679578468797E-3</v>
      </c>
      <c r="N50" s="71">
        <v>127.3</v>
      </c>
      <c r="O50" s="70">
        <f t="shared" si="3"/>
        <v>6.0744937921839881E-2</v>
      </c>
      <c r="P50" s="73"/>
      <c r="Q50" s="73"/>
      <c r="R50" s="73"/>
      <c r="S50" s="73"/>
      <c r="T50" s="74"/>
      <c r="U50" s="1"/>
      <c r="V50" s="2"/>
      <c r="W50" s="1"/>
    </row>
    <row r="51" spans="1:23" x14ac:dyDescent="0.25">
      <c r="A51" s="10">
        <v>45748</v>
      </c>
      <c r="B51" s="12">
        <v>29.11</v>
      </c>
      <c r="C51" s="69">
        <f t="shared" si="2"/>
        <v>-0.17418439716312062</v>
      </c>
      <c r="N51" s="72">
        <v>131.63</v>
      </c>
      <c r="O51" s="69">
        <f t="shared" si="3"/>
        <v>3.4014139827179823E-2</v>
      </c>
      <c r="P51" s="73"/>
      <c r="Q51" s="73"/>
      <c r="R51" s="73"/>
      <c r="S51" s="73"/>
      <c r="T51" s="74"/>
      <c r="U51" s="1"/>
      <c r="V51" s="2"/>
      <c r="W51" s="1"/>
    </row>
    <row r="52" spans="1:23" x14ac:dyDescent="0.25">
      <c r="A52" s="10">
        <v>45778</v>
      </c>
      <c r="B52" s="11">
        <v>29.33</v>
      </c>
      <c r="C52" s="70">
        <f t="shared" si="2"/>
        <v>7.5575403641359173E-3</v>
      </c>
      <c r="N52" s="71">
        <v>133.99</v>
      </c>
      <c r="O52" s="70">
        <f t="shared" si="3"/>
        <v>1.7929043531110134E-2</v>
      </c>
      <c r="P52" s="73"/>
      <c r="Q52" s="73"/>
      <c r="R52" s="73"/>
      <c r="S52" s="73"/>
      <c r="T52" s="74"/>
      <c r="U52" s="1"/>
      <c r="V52" s="2"/>
      <c r="W52" s="1"/>
    </row>
    <row r="53" spans="1:23" x14ac:dyDescent="0.25">
      <c r="A53" s="10">
        <v>45809</v>
      </c>
      <c r="B53" s="12">
        <v>30.68</v>
      </c>
      <c r="C53" s="69">
        <f t="shared" si="2"/>
        <v>4.6027957722468482E-2</v>
      </c>
      <c r="N53" s="72">
        <v>135.85</v>
      </c>
      <c r="O53" s="69">
        <f t="shared" si="3"/>
        <v>1.3881632957683188E-2</v>
      </c>
      <c r="P53" s="73"/>
      <c r="Q53" s="73"/>
      <c r="R53" s="73"/>
      <c r="S53" s="73"/>
      <c r="T53" s="74"/>
      <c r="U53" s="1"/>
      <c r="V53" s="2"/>
      <c r="W53" s="1"/>
    </row>
    <row r="54" spans="1:23" x14ac:dyDescent="0.25">
      <c r="A54" s="10">
        <v>45839</v>
      </c>
      <c r="B54" s="11">
        <v>31.92</v>
      </c>
      <c r="C54" s="70">
        <f t="shared" si="2"/>
        <v>4.041720990873543E-2</v>
      </c>
      <c r="N54" s="71">
        <v>129.88</v>
      </c>
      <c r="O54" s="70">
        <f t="shared" si="3"/>
        <v>-4.3945528156054459E-2</v>
      </c>
      <c r="P54" s="73"/>
      <c r="Q54" s="73"/>
      <c r="R54" s="73"/>
      <c r="S54" s="73"/>
      <c r="T54" s="74"/>
      <c r="U54" s="1"/>
      <c r="V54" s="2"/>
      <c r="W54" s="1"/>
    </row>
    <row r="55" spans="1:23" x14ac:dyDescent="0.25">
      <c r="A55" s="10">
        <v>45870</v>
      </c>
      <c r="B55" s="12">
        <v>31.1</v>
      </c>
      <c r="C55" s="69">
        <f t="shared" si="2"/>
        <v>-2.5689223057644095E-2</v>
      </c>
      <c r="N55" s="72">
        <v>138.5</v>
      </c>
      <c r="O55" s="69">
        <f t="shared" si="3"/>
        <v>6.636895595934722E-2</v>
      </c>
      <c r="P55" s="73"/>
      <c r="Q55" s="73"/>
      <c r="R55" s="73"/>
      <c r="S55" s="73"/>
      <c r="T55" s="74"/>
      <c r="U55" s="1"/>
      <c r="V55" s="2"/>
      <c r="W55" s="1"/>
    </row>
    <row r="56" spans="1:23" x14ac:dyDescent="0.25">
      <c r="A56" s="10">
        <v>45901</v>
      </c>
      <c r="B56" s="11">
        <v>30.51</v>
      </c>
      <c r="C56" s="70">
        <f t="shared" si="2"/>
        <v>-1.8971061093247532E-2</v>
      </c>
      <c r="N56" s="71">
        <v>143.24</v>
      </c>
      <c r="O56" s="70">
        <f t="shared" si="3"/>
        <v>3.422382671480162E-2</v>
      </c>
      <c r="P56" s="73"/>
      <c r="Q56" s="73"/>
      <c r="R56" s="73"/>
      <c r="S56" s="73"/>
      <c r="T56" s="74"/>
      <c r="U56" s="1"/>
      <c r="V56" s="2"/>
      <c r="W56" s="1"/>
    </row>
    <row r="57" spans="1:23" x14ac:dyDescent="0.25">
      <c r="A57" s="10">
        <v>45931</v>
      </c>
      <c r="B57" s="12">
        <v>28.85</v>
      </c>
      <c r="C57" s="69">
        <f t="shared" si="2"/>
        <v>-5.4408390691576547E-2</v>
      </c>
      <c r="N57" s="72">
        <v>146.41</v>
      </c>
      <c r="O57" s="69">
        <f t="shared" si="3"/>
        <v>2.2130689751465926E-2</v>
      </c>
      <c r="P57" s="73"/>
      <c r="Q57" s="73"/>
      <c r="R57" s="73"/>
      <c r="S57" s="73"/>
      <c r="T57" s="74"/>
      <c r="U57" s="1"/>
      <c r="V57" s="2"/>
      <c r="W57" s="1"/>
    </row>
    <row r="58" spans="1:23" x14ac:dyDescent="0.25">
      <c r="A58" s="10">
        <v>45962</v>
      </c>
      <c r="B58" s="11">
        <v>30.83</v>
      </c>
      <c r="C58" s="70">
        <f t="shared" si="2"/>
        <v>6.8630849220103984E-2</v>
      </c>
      <c r="N58" s="71">
        <v>155.85</v>
      </c>
      <c r="O58" s="70">
        <f t="shared" si="3"/>
        <v>6.4476470186462631E-2</v>
      </c>
      <c r="P58" s="73"/>
      <c r="Q58" s="73"/>
      <c r="R58" s="73"/>
      <c r="S58" s="73"/>
      <c r="T58" s="74"/>
      <c r="U58" s="1"/>
      <c r="V58" s="2"/>
      <c r="W58" s="1"/>
    </row>
    <row r="59" spans="1:23" x14ac:dyDescent="0.25">
      <c r="A59" s="10">
        <v>45992</v>
      </c>
      <c r="B59" s="12">
        <v>30.82</v>
      </c>
      <c r="C59" s="69">
        <f t="shared" si="2"/>
        <v>-3.2435939020425408E-4</v>
      </c>
      <c r="N59" s="72">
        <v>158</v>
      </c>
      <c r="O59" s="69">
        <f t="shared" si="3"/>
        <v>1.3795316008982983E-2</v>
      </c>
      <c r="P59" s="73"/>
      <c r="Q59" s="73"/>
      <c r="R59" s="73"/>
      <c r="S59" s="73"/>
      <c r="T59" s="74"/>
      <c r="U59" s="1"/>
      <c r="V59" s="2"/>
      <c r="W59" s="1"/>
    </row>
    <row r="60" spans="1:23" x14ac:dyDescent="0.25">
      <c r="A60" s="10">
        <v>46023</v>
      </c>
      <c r="B60" s="11">
        <v>37.76</v>
      </c>
      <c r="C60" s="70">
        <f t="shared" si="2"/>
        <v>0.22517845554834515</v>
      </c>
      <c r="N60" s="71">
        <v>178.2</v>
      </c>
      <c r="O60" s="70">
        <f t="shared" si="3"/>
        <v>0.1278481012658228</v>
      </c>
      <c r="P60" s="73"/>
      <c r="Q60" s="73"/>
      <c r="R60" s="73"/>
      <c r="S60" s="73"/>
      <c r="T60" s="74"/>
      <c r="U60" s="1"/>
      <c r="V60" s="2"/>
      <c r="W60" s="1"/>
    </row>
    <row r="61" spans="1:23" x14ac:dyDescent="0.25">
      <c r="A61" s="10">
        <v>46054</v>
      </c>
      <c r="B61" s="12">
        <v>39.33</v>
      </c>
      <c r="C61" s="69">
        <f t="shared" si="2"/>
        <v>4.1578389830508433E-2</v>
      </c>
      <c r="N61" s="72">
        <v>185.16</v>
      </c>
      <c r="O61" s="69">
        <f t="shared" si="3"/>
        <v>3.9057239057239013E-2</v>
      </c>
      <c r="P61" s="73"/>
      <c r="Q61" s="73"/>
      <c r="R61" s="73"/>
      <c r="S61" s="73"/>
      <c r="T61" s="74"/>
      <c r="U61" s="1"/>
      <c r="V61" s="2"/>
      <c r="W61" s="1"/>
    </row>
  </sheetData>
  <conditionalFormatting sqref="B2:B61">
    <cfRule type="expression" priority="1">
      <formula>MOD( ROW(),2)=0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60B7-CF35-40A2-9591-602A3A3FC653}">
  <dimension ref="A2:N33"/>
  <sheetViews>
    <sheetView workbookViewId="0">
      <selection activeCell="I4" sqref="I4"/>
    </sheetView>
  </sheetViews>
  <sheetFormatPr defaultRowHeight="15" x14ac:dyDescent="0.25"/>
  <cols>
    <col min="1" max="1" width="9.5703125" customWidth="1"/>
    <col min="2" max="2" width="24" customWidth="1"/>
    <col min="3" max="3" width="12.42578125" bestFit="1" customWidth="1"/>
    <col min="4" max="4" width="22.42578125" bestFit="1" customWidth="1"/>
    <col min="5" max="5" width="16.42578125" bestFit="1" customWidth="1"/>
    <col min="8" max="8" width="15.28515625" bestFit="1" customWidth="1"/>
    <col min="9" max="9" width="9" bestFit="1" customWidth="1"/>
    <col min="10" max="10" width="15.140625" bestFit="1" customWidth="1"/>
    <col min="11" max="11" width="16.140625" bestFit="1" customWidth="1"/>
    <col min="12" max="12" width="25" bestFit="1" customWidth="1"/>
    <col min="13" max="13" width="17.7109375" bestFit="1" customWidth="1"/>
    <col min="14" max="16" width="19.42578125" bestFit="1" customWidth="1"/>
  </cols>
  <sheetData>
    <row r="2" spans="1:14" x14ac:dyDescent="0.25">
      <c r="J2" s="46" t="s">
        <v>40</v>
      </c>
      <c r="K2" s="46"/>
      <c r="L2" s="46"/>
      <c r="M2" s="46"/>
      <c r="N2" s="46"/>
    </row>
    <row r="3" spans="1:14" x14ac:dyDescent="0.25">
      <c r="J3" s="46"/>
      <c r="K3" s="46"/>
      <c r="L3" s="46"/>
      <c r="M3" s="46"/>
      <c r="N3" s="46"/>
    </row>
    <row r="4" spans="1:14" x14ac:dyDescent="0.25">
      <c r="I4" s="3"/>
      <c r="J4" s="4" t="s">
        <v>41</v>
      </c>
      <c r="K4" s="4" t="s">
        <v>42</v>
      </c>
      <c r="L4" s="4" t="s">
        <v>43</v>
      </c>
      <c r="M4" s="4" t="s">
        <v>10</v>
      </c>
      <c r="N4" s="4" t="s">
        <v>9</v>
      </c>
    </row>
    <row r="5" spans="1:14" x14ac:dyDescent="0.25">
      <c r="A5" s="47" t="s">
        <v>44</v>
      </c>
      <c r="B5" s="48"/>
      <c r="C5" s="49"/>
      <c r="J5" s="18">
        <v>0</v>
      </c>
      <c r="K5" s="18">
        <f>1-J5</f>
        <v>1</v>
      </c>
      <c r="L5" s="19">
        <f t="shared" ref="L5:L25" si="0">J5*$C$6 +K5*$C$7</f>
        <v>9.8144792501328303E-3</v>
      </c>
      <c r="M5" s="20">
        <f t="shared" ref="M5:M25" si="1">(J5^2)*($C$8^2)+(K5^2)*($C$9^2)+2*J5*K5*$C$10</f>
        <v>2.5289023453097972E-3</v>
      </c>
      <c r="N5" s="21">
        <f>SQRT(M5)</f>
        <v>5.0288192901612572E-2</v>
      </c>
    </row>
    <row r="6" spans="1:14" x14ac:dyDescent="0.25">
      <c r="A6" s="44" t="s">
        <v>38</v>
      </c>
      <c r="B6" s="30" t="s">
        <v>15</v>
      </c>
      <c r="C6" s="31">
        <f>AVERAGE(RETORNOS!C3:C61)</f>
        <v>2.7074777144323024E-2</v>
      </c>
      <c r="E6" s="6" t="s">
        <v>14</v>
      </c>
      <c r="F6" s="6" t="s">
        <v>15</v>
      </c>
      <c r="G6" s="6" t="s">
        <v>0</v>
      </c>
      <c r="H6" s="6" t="s">
        <v>16</v>
      </c>
      <c r="I6" s="3"/>
      <c r="J6" s="22">
        <v>0.05</v>
      </c>
      <c r="K6" s="23">
        <f>1-J6</f>
        <v>0.95</v>
      </c>
      <c r="L6" s="24">
        <f t="shared" si="0"/>
        <v>1.0677494144842339E-2</v>
      </c>
      <c r="M6" s="25">
        <f t="shared" si="1"/>
        <v>2.4788545722573135E-3</v>
      </c>
      <c r="N6" s="26">
        <f t="shared" ref="N6:N25" si="2">SQRT(M6)</f>
        <v>4.9788096692455652E-2</v>
      </c>
    </row>
    <row r="7" spans="1:14" x14ac:dyDescent="0.25">
      <c r="A7" s="45"/>
      <c r="B7" s="29" t="s">
        <v>0</v>
      </c>
      <c r="C7" s="28">
        <f>AVERAGE(RETORNOS!O3:O61)</f>
        <v>9.8144792501328303E-3</v>
      </c>
      <c r="E7" s="6" t="s">
        <v>17</v>
      </c>
      <c r="F7" s="37">
        <f>C6</f>
        <v>2.7074777144323024E-2</v>
      </c>
      <c r="G7" s="35">
        <f>C7</f>
        <v>9.8144792501328303E-3</v>
      </c>
      <c r="H7" s="33">
        <f>K31</f>
        <v>1.1540509039551851E-2</v>
      </c>
      <c r="J7" s="18">
        <v>0.1</v>
      </c>
      <c r="K7" s="18">
        <f>1-J7</f>
        <v>0.9</v>
      </c>
      <c r="L7" s="19">
        <f t="shared" si="0"/>
        <v>1.1540509039551851E-2</v>
      </c>
      <c r="M7" s="20">
        <f t="shared" si="1"/>
        <v>2.459697057146896E-3</v>
      </c>
      <c r="N7" s="21">
        <f t="shared" si="2"/>
        <v>4.9595333017804166E-2</v>
      </c>
    </row>
    <row r="8" spans="1:14" x14ac:dyDescent="0.25">
      <c r="A8" s="42" t="s">
        <v>39</v>
      </c>
      <c r="B8" s="30" t="s">
        <v>15</v>
      </c>
      <c r="C8" s="31">
        <f>STDEVP(RETORNOS!C3:C61)</f>
        <v>8.6006371236395124E-2</v>
      </c>
      <c r="E8" s="9" t="s">
        <v>18</v>
      </c>
      <c r="F8" s="38">
        <f>C8</f>
        <v>8.6006371236395124E-2</v>
      </c>
      <c r="G8" s="36">
        <f>C9</f>
        <v>5.0288192901612572E-2</v>
      </c>
      <c r="H8" s="34">
        <f>K30</f>
        <v>4.9595333017804166E-2</v>
      </c>
      <c r="J8" s="22">
        <v>0.15</v>
      </c>
      <c r="K8" s="23">
        <f>1-J8</f>
        <v>0.85</v>
      </c>
      <c r="L8" s="24">
        <f t="shared" si="0"/>
        <v>1.2403523934261359E-2</v>
      </c>
      <c r="M8" s="25">
        <f t="shared" si="1"/>
        <v>2.4714297999785433E-3</v>
      </c>
      <c r="N8" s="26">
        <f t="shared" si="2"/>
        <v>4.9713477045752325E-2</v>
      </c>
    </row>
    <row r="9" spans="1:14" x14ac:dyDescent="0.25">
      <c r="A9" s="43"/>
      <c r="B9" s="29" t="s">
        <v>0</v>
      </c>
      <c r="C9" s="28">
        <f>STDEVP(RETORNOS!O3:O61)</f>
        <v>5.0288192901612572E-2</v>
      </c>
      <c r="J9" s="18">
        <v>0.2</v>
      </c>
      <c r="K9" s="18">
        <f t="shared" ref="K9:K25" si="3">1-J9</f>
        <v>0.8</v>
      </c>
      <c r="L9" s="19">
        <f t="shared" si="0"/>
        <v>1.3266538828970869E-2</v>
      </c>
      <c r="M9" s="20">
        <f t="shared" si="1"/>
        <v>2.5140528007522576E-3</v>
      </c>
      <c r="N9" s="21">
        <f t="shared" si="2"/>
        <v>5.0140331079404112E-2</v>
      </c>
    </row>
    <row r="10" spans="1:14" x14ac:dyDescent="0.25">
      <c r="A10" s="32"/>
      <c r="B10" s="29" t="s">
        <v>8</v>
      </c>
      <c r="C10" s="27">
        <f>_xlfn.COVARIANCE.P(RETORNOS!C3:C61,RETORNOS!O3:O61)</f>
        <v>1.8739733250746316E-3</v>
      </c>
      <c r="J10" s="22">
        <v>0.25</v>
      </c>
      <c r="K10" s="23">
        <f t="shared" si="3"/>
        <v>0.75</v>
      </c>
      <c r="L10" s="24">
        <f t="shared" si="0"/>
        <v>1.4129553723680379E-2</v>
      </c>
      <c r="M10" s="25">
        <f t="shared" si="1"/>
        <v>2.5875660594680363E-3</v>
      </c>
      <c r="N10" s="26">
        <f t="shared" si="2"/>
        <v>5.0868124198441174E-2</v>
      </c>
    </row>
    <row r="11" spans="1:14" x14ac:dyDescent="0.25">
      <c r="J11" s="18">
        <v>0.3</v>
      </c>
      <c r="K11" s="18">
        <f t="shared" si="3"/>
        <v>0.7</v>
      </c>
      <c r="L11" s="19">
        <f t="shared" si="0"/>
        <v>1.4992568618389889E-2</v>
      </c>
      <c r="M11" s="20">
        <f t="shared" si="1"/>
        <v>2.6919695761258812E-3</v>
      </c>
      <c r="N11" s="21">
        <f t="shared" si="2"/>
        <v>5.1884193894922194E-2</v>
      </c>
    </row>
    <row r="12" spans="1:14" x14ac:dyDescent="0.25">
      <c r="J12" s="22">
        <v>0.35</v>
      </c>
      <c r="K12" s="23">
        <f t="shared" si="3"/>
        <v>0.65</v>
      </c>
      <c r="L12" s="24">
        <f t="shared" si="0"/>
        <v>1.5855583513099399E-2</v>
      </c>
      <c r="M12" s="25">
        <f t="shared" si="1"/>
        <v>2.8272633507257922E-3</v>
      </c>
      <c r="N12" s="26">
        <f t="shared" si="2"/>
        <v>5.317201661330697E-2</v>
      </c>
    </row>
    <row r="13" spans="1:14" x14ac:dyDescent="0.25">
      <c r="J13" s="18">
        <v>0.4</v>
      </c>
      <c r="K13" s="18">
        <f t="shared" si="3"/>
        <v>0.6</v>
      </c>
      <c r="L13" s="19">
        <f t="shared" si="0"/>
        <v>1.6718598407808909E-2</v>
      </c>
      <c r="M13" s="20">
        <f t="shared" si="1"/>
        <v>2.9934473832677689E-3</v>
      </c>
      <c r="N13" s="21">
        <f t="shared" si="2"/>
        <v>5.4712406118427738E-2</v>
      </c>
    </row>
    <row r="14" spans="1:14" x14ac:dyDescent="0.25">
      <c r="J14" s="22">
        <v>0.45</v>
      </c>
      <c r="K14" s="23">
        <f t="shared" si="3"/>
        <v>0.55000000000000004</v>
      </c>
      <c r="L14" s="24">
        <f t="shared" si="0"/>
        <v>1.7581613302518419E-2</v>
      </c>
      <c r="M14" s="25">
        <f t="shared" si="1"/>
        <v>3.1905216737518108E-3</v>
      </c>
      <c r="N14" s="26">
        <f t="shared" si="2"/>
        <v>5.6484703006670849E-2</v>
      </c>
    </row>
    <row r="15" spans="1:14" x14ac:dyDescent="0.25">
      <c r="J15" s="18">
        <v>0.5</v>
      </c>
      <c r="K15" s="18">
        <f t="shared" si="3"/>
        <v>0.5</v>
      </c>
      <c r="L15" s="19">
        <f t="shared" si="0"/>
        <v>1.8444628197227926E-2</v>
      </c>
      <c r="M15" s="20">
        <f t="shared" si="1"/>
        <v>3.4184862221779185E-3</v>
      </c>
      <c r="N15" s="21">
        <f t="shared" si="2"/>
        <v>5.8467822109070547E-2</v>
      </c>
    </row>
    <row r="16" spans="1:14" x14ac:dyDescent="0.25">
      <c r="J16" s="22">
        <v>0.55000000000000004</v>
      </c>
      <c r="K16" s="23">
        <f t="shared" si="3"/>
        <v>0.44999999999999996</v>
      </c>
      <c r="L16" s="24">
        <f t="shared" si="0"/>
        <v>1.9307643091937436E-2</v>
      </c>
      <c r="M16" s="25">
        <f t="shared" si="1"/>
        <v>3.6773410285460928E-3</v>
      </c>
      <c r="N16" s="26">
        <f t="shared" si="2"/>
        <v>6.0641083668962356E-2</v>
      </c>
    </row>
    <row r="17" spans="10:14" x14ac:dyDescent="0.25">
      <c r="J17" s="18">
        <v>0.6</v>
      </c>
      <c r="K17" s="18">
        <f t="shared" si="3"/>
        <v>0.4</v>
      </c>
      <c r="L17" s="19">
        <f t="shared" si="0"/>
        <v>2.0170657986646946E-2</v>
      </c>
      <c r="M17" s="20">
        <f t="shared" si="1"/>
        <v>3.9670860928563319E-3</v>
      </c>
      <c r="N17" s="21">
        <f t="shared" si="2"/>
        <v>6.2984808429146874E-2</v>
      </c>
    </row>
    <row r="18" spans="10:14" x14ac:dyDescent="0.25">
      <c r="J18" s="22">
        <v>0.65</v>
      </c>
      <c r="K18" s="23">
        <f t="shared" si="3"/>
        <v>0.35</v>
      </c>
      <c r="L18" s="24">
        <f t="shared" si="0"/>
        <v>2.1033672881356456E-2</v>
      </c>
      <c r="M18" s="25">
        <f t="shared" si="1"/>
        <v>4.2877214151086371E-3</v>
      </c>
      <c r="N18" s="26">
        <f t="shared" si="2"/>
        <v>6.5480694980342397E-2</v>
      </c>
    </row>
    <row r="19" spans="10:14" x14ac:dyDescent="0.25">
      <c r="J19" s="18">
        <v>0.7</v>
      </c>
      <c r="K19" s="18">
        <f t="shared" si="3"/>
        <v>0.30000000000000004</v>
      </c>
      <c r="L19" s="19">
        <f t="shared" si="0"/>
        <v>2.1896687776065966E-2</v>
      </c>
      <c r="M19" s="20">
        <f t="shared" si="1"/>
        <v>4.6392469953030081E-3</v>
      </c>
      <c r="N19" s="21">
        <f t="shared" si="2"/>
        <v>6.8112017994646196E-2</v>
      </c>
    </row>
    <row r="20" spans="10:14" x14ac:dyDescent="0.25">
      <c r="J20" s="22">
        <v>0.75</v>
      </c>
      <c r="K20" s="23">
        <f t="shared" si="3"/>
        <v>0.25</v>
      </c>
      <c r="L20" s="24">
        <f t="shared" si="0"/>
        <v>2.2759702670775477E-2</v>
      </c>
      <c r="M20" s="25">
        <f t="shared" si="1"/>
        <v>5.0216628334394447E-3</v>
      </c>
      <c r="N20" s="26">
        <f t="shared" si="2"/>
        <v>7.0863691926397993E-2</v>
      </c>
    </row>
    <row r="21" spans="10:14" x14ac:dyDescent="0.25">
      <c r="J21" s="18">
        <v>0.8</v>
      </c>
      <c r="K21" s="18">
        <f t="shared" si="3"/>
        <v>0.19999999999999996</v>
      </c>
      <c r="L21" s="19">
        <f t="shared" si="0"/>
        <v>2.3622717565484987E-2</v>
      </c>
      <c r="M21" s="20">
        <f t="shared" si="1"/>
        <v>5.4349689295179479E-3</v>
      </c>
      <c r="N21" s="21">
        <f t="shared" si="2"/>
        <v>7.3722241755917517E-2</v>
      </c>
    </row>
    <row r="22" spans="10:14" x14ac:dyDescent="0.25">
      <c r="J22" s="22">
        <v>0.85</v>
      </c>
      <c r="K22" s="23">
        <f t="shared" si="3"/>
        <v>0.15000000000000002</v>
      </c>
      <c r="L22" s="24">
        <f t="shared" si="0"/>
        <v>2.4485732460194493E-2</v>
      </c>
      <c r="M22" s="25">
        <f t="shared" si="1"/>
        <v>5.8791652835385151E-3</v>
      </c>
      <c r="N22" s="26">
        <f t="shared" si="2"/>
        <v>7.6675715083320314E-2</v>
      </c>
    </row>
    <row r="23" spans="10:14" x14ac:dyDescent="0.25">
      <c r="J23" s="18">
        <v>0.9</v>
      </c>
      <c r="K23" s="18">
        <f t="shared" si="3"/>
        <v>9.9999999999999978E-2</v>
      </c>
      <c r="L23" s="19">
        <f t="shared" si="0"/>
        <v>2.5348747354904007E-2</v>
      </c>
      <c r="M23" s="20">
        <f t="shared" si="1"/>
        <v>6.3542518955011498E-3</v>
      </c>
      <c r="N23" s="21">
        <f t="shared" si="2"/>
        <v>7.9713561553233531E-2</v>
      </c>
    </row>
    <row r="24" spans="10:14" x14ac:dyDescent="0.25">
      <c r="J24" s="22">
        <v>0.95</v>
      </c>
      <c r="K24" s="23">
        <f t="shared" si="3"/>
        <v>5.0000000000000044E-2</v>
      </c>
      <c r="L24" s="24">
        <f t="shared" si="0"/>
        <v>2.6211762249613513E-2</v>
      </c>
      <c r="M24" s="25">
        <f t="shared" si="1"/>
        <v>6.8602287654058493E-3</v>
      </c>
      <c r="N24" s="26">
        <f t="shared" si="2"/>
        <v>8.2826497966567741E-2</v>
      </c>
    </row>
    <row r="25" spans="10:14" x14ac:dyDescent="0.25">
      <c r="J25" s="18">
        <v>1</v>
      </c>
      <c r="K25" s="18">
        <f t="shared" si="3"/>
        <v>0</v>
      </c>
      <c r="L25" s="19">
        <f t="shared" si="0"/>
        <v>2.7074777144323024E-2</v>
      </c>
      <c r="M25" s="20">
        <f t="shared" si="1"/>
        <v>7.3970958932526145E-3</v>
      </c>
      <c r="N25" s="21">
        <f t="shared" si="2"/>
        <v>8.6006371236395124E-2</v>
      </c>
    </row>
    <row r="28" spans="10:14" x14ac:dyDescent="0.25">
      <c r="J28" s="40" t="s">
        <v>20</v>
      </c>
      <c r="K28" s="41"/>
    </row>
    <row r="29" spans="10:14" x14ac:dyDescent="0.25">
      <c r="J29" s="6"/>
      <c r="K29" s="7" t="s">
        <v>11</v>
      </c>
    </row>
    <row r="30" spans="10:14" x14ac:dyDescent="0.25">
      <c r="J30" s="8" t="s">
        <v>12</v>
      </c>
      <c r="K30" s="14">
        <f>MIN(N5:N25)</f>
        <v>4.9595333017804166E-2</v>
      </c>
    </row>
    <row r="31" spans="10:14" x14ac:dyDescent="0.25">
      <c r="J31" s="8" t="s">
        <v>13</v>
      </c>
      <c r="K31" s="16">
        <f>L7</f>
        <v>1.1540509039551851E-2</v>
      </c>
    </row>
    <row r="32" spans="10:14" x14ac:dyDescent="0.25">
      <c r="J32" s="8" t="s">
        <v>15</v>
      </c>
      <c r="K32" s="15">
        <f>_xlfn.XLOOKUP(MIN(N5:N25), N5:N25, J5:J25)</f>
        <v>0.1</v>
      </c>
    </row>
    <row r="33" spans="10:11" x14ac:dyDescent="0.25">
      <c r="J33" s="9" t="s">
        <v>0</v>
      </c>
      <c r="K33" s="17">
        <f>_xlfn.XLOOKUP(MIN(N5:N25), N5:N25,K5:K25)</f>
        <v>0.9</v>
      </c>
    </row>
  </sheetData>
  <mergeCells count="5">
    <mergeCell ref="J28:K28"/>
    <mergeCell ref="A8:A9"/>
    <mergeCell ref="A6:A7"/>
    <mergeCell ref="J2:N3"/>
    <mergeCell ref="A5:C5"/>
  </mergeCells>
  <phoneticPr fontId="19" type="noConversion"/>
  <pageMargins left="0.511811024" right="0.511811024" top="0.78740157499999996" bottom="0.78740157499999996" header="0.31496062000000002" footer="0.31496062000000002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CF41-84CA-4F7C-86DC-D763419D0C74}">
  <dimension ref="A1:C30"/>
  <sheetViews>
    <sheetView zoomScale="85" zoomScaleNormal="85" workbookViewId="0">
      <selection activeCell="I7" sqref="I7"/>
    </sheetView>
  </sheetViews>
  <sheetFormatPr defaultRowHeight="15" x14ac:dyDescent="0.25"/>
  <cols>
    <col min="2" max="2" width="85.140625" bestFit="1" customWidth="1"/>
    <col min="3" max="3" width="55.28515625" customWidth="1"/>
    <col min="6" max="6" width="16.42578125" bestFit="1" customWidth="1"/>
    <col min="9" max="9" width="13.7109375" bestFit="1" customWidth="1"/>
  </cols>
  <sheetData>
    <row r="1" spans="1:3" ht="70.900000000000006" customHeight="1" x14ac:dyDescent="0.25">
      <c r="B1" s="59" t="s">
        <v>36</v>
      </c>
      <c r="C1" s="60"/>
    </row>
    <row r="2" spans="1:3" ht="13.9" customHeight="1" x14ac:dyDescent="0.25">
      <c r="A2" s="5"/>
      <c r="B2" s="57" t="s">
        <v>27</v>
      </c>
      <c r="C2" s="61" t="s">
        <v>28</v>
      </c>
    </row>
    <row r="3" spans="1:3" ht="104.45" customHeight="1" x14ac:dyDescent="0.25">
      <c r="A3" s="5"/>
      <c r="B3" s="57"/>
      <c r="C3" s="61"/>
    </row>
    <row r="4" spans="1:3" ht="19.149999999999999" customHeight="1" x14ac:dyDescent="0.25">
      <c r="A4" s="5"/>
      <c r="B4" s="58"/>
      <c r="C4" s="62"/>
    </row>
    <row r="5" spans="1:3" ht="28.9" customHeight="1" x14ac:dyDescent="0.25">
      <c r="A5" s="5"/>
      <c r="B5" s="53" t="s">
        <v>29</v>
      </c>
      <c r="C5" s="63" t="s">
        <v>30</v>
      </c>
    </row>
    <row r="6" spans="1:3" ht="45.6" customHeight="1" x14ac:dyDescent="0.25">
      <c r="A6" s="5"/>
      <c r="B6" s="53"/>
      <c r="C6" s="64"/>
    </row>
    <row r="7" spans="1:3" ht="28.9" customHeight="1" x14ac:dyDescent="0.25">
      <c r="A7" s="5"/>
      <c r="B7" s="53"/>
      <c r="C7" s="65" t="s">
        <v>31</v>
      </c>
    </row>
    <row r="8" spans="1:3" ht="13.9" customHeight="1" x14ac:dyDescent="0.25">
      <c r="A8" s="5"/>
      <c r="B8" s="53"/>
      <c r="C8" s="65"/>
    </row>
    <row r="9" spans="1:3" ht="13.9" customHeight="1" x14ac:dyDescent="0.25">
      <c r="A9" s="5"/>
      <c r="B9" s="53"/>
      <c r="C9" s="65"/>
    </row>
    <row r="10" spans="1:3" ht="24.6" customHeight="1" x14ac:dyDescent="0.25">
      <c r="A10" s="5"/>
      <c r="B10" s="53"/>
      <c r="C10" s="64" t="s">
        <v>34</v>
      </c>
    </row>
    <row r="11" spans="1:3" ht="13.9" customHeight="1" x14ac:dyDescent="0.25">
      <c r="A11" s="5"/>
      <c r="B11" s="53"/>
      <c r="C11" s="64"/>
    </row>
    <row r="12" spans="1:3" ht="13.9" customHeight="1" x14ac:dyDescent="0.25">
      <c r="A12" s="5"/>
      <c r="B12" s="53"/>
      <c r="C12" s="64"/>
    </row>
    <row r="13" spans="1:3" ht="13.9" customHeight="1" x14ac:dyDescent="0.25">
      <c r="A13" s="5"/>
      <c r="B13" s="53"/>
      <c r="C13" s="64"/>
    </row>
    <row r="14" spans="1:3" ht="13.9" customHeight="1" x14ac:dyDescent="0.25">
      <c r="A14" s="5"/>
      <c r="B14" s="53"/>
      <c r="C14" s="65" t="s">
        <v>32</v>
      </c>
    </row>
    <row r="15" spans="1:3" ht="13.9" customHeight="1" x14ac:dyDescent="0.25">
      <c r="A15" s="5"/>
      <c r="B15" s="54"/>
      <c r="C15" s="65"/>
    </row>
    <row r="16" spans="1:3" ht="13.9" customHeight="1" x14ac:dyDescent="0.25">
      <c r="A16" s="5"/>
      <c r="B16" s="54"/>
      <c r="C16" s="65"/>
    </row>
    <row r="17" spans="1:3" ht="13.9" customHeight="1" x14ac:dyDescent="0.25">
      <c r="A17" s="5"/>
      <c r="B17" s="54"/>
      <c r="C17" s="65"/>
    </row>
    <row r="18" spans="1:3" ht="13.9" customHeight="1" x14ac:dyDescent="0.25">
      <c r="A18" s="5"/>
      <c r="B18" s="54"/>
      <c r="C18" s="65"/>
    </row>
    <row r="19" spans="1:3" ht="13.9" customHeight="1" x14ac:dyDescent="0.25">
      <c r="A19" s="5"/>
      <c r="B19" s="54"/>
      <c r="C19" s="65"/>
    </row>
    <row r="20" spans="1:3" ht="13.9" customHeight="1" x14ac:dyDescent="0.25">
      <c r="A20" s="5"/>
      <c r="B20" s="54"/>
      <c r="C20" s="64" t="s">
        <v>37</v>
      </c>
    </row>
    <row r="21" spans="1:3" ht="13.9" customHeight="1" x14ac:dyDescent="0.25">
      <c r="A21" s="5"/>
      <c r="B21" s="54"/>
      <c r="C21" s="64"/>
    </row>
    <row r="22" spans="1:3" ht="13.9" customHeight="1" x14ac:dyDescent="0.25">
      <c r="A22" s="5"/>
      <c r="B22" s="54"/>
      <c r="C22" s="64"/>
    </row>
    <row r="23" spans="1:3" ht="13.9" customHeight="1" x14ac:dyDescent="0.25">
      <c r="A23" s="5"/>
      <c r="B23" s="55"/>
      <c r="C23" s="66"/>
    </row>
    <row r="24" spans="1:3" ht="13.9" customHeight="1" x14ac:dyDescent="0.25">
      <c r="A24" s="5"/>
      <c r="B24" s="56" t="s">
        <v>33</v>
      </c>
      <c r="C24" s="50" t="s">
        <v>35</v>
      </c>
    </row>
    <row r="25" spans="1:3" x14ac:dyDescent="0.25">
      <c r="A25" s="5"/>
      <c r="B25" s="57"/>
      <c r="C25" s="51"/>
    </row>
    <row r="26" spans="1:3" x14ac:dyDescent="0.25">
      <c r="A26" s="5"/>
      <c r="B26" s="57"/>
      <c r="C26" s="51"/>
    </row>
    <row r="27" spans="1:3" ht="13.9" customHeight="1" x14ac:dyDescent="0.25">
      <c r="A27" s="5"/>
      <c r="B27" s="57"/>
      <c r="C27" s="51"/>
    </row>
    <row r="28" spans="1:3" ht="41.45" customHeight="1" x14ac:dyDescent="0.25">
      <c r="A28" s="5"/>
      <c r="B28" s="58"/>
      <c r="C28" s="52"/>
    </row>
    <row r="30" spans="1:3" x14ac:dyDescent="0.25">
      <c r="B30" t="s">
        <v>19</v>
      </c>
    </row>
  </sheetData>
  <mergeCells count="11">
    <mergeCell ref="C24:C28"/>
    <mergeCell ref="B5:B23"/>
    <mergeCell ref="B24:B28"/>
    <mergeCell ref="B1:C1"/>
    <mergeCell ref="B2:B4"/>
    <mergeCell ref="C2:C4"/>
    <mergeCell ref="C5:C6"/>
    <mergeCell ref="C7:C9"/>
    <mergeCell ref="C10:C13"/>
    <mergeCell ref="C14:C19"/>
    <mergeCell ref="C20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Históricos</vt:lpstr>
      <vt:lpstr>RETORNOS</vt:lpstr>
      <vt:lpstr>MODELAGEM</vt:lpstr>
      <vt:lpstr>RELATÓRIO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Arthur rinco</dc:creator>
  <cp:keywords/>
  <dc:description/>
  <cp:lastModifiedBy>Arthur Rinco</cp:lastModifiedBy>
  <cp:revision/>
  <dcterms:created xsi:type="dcterms:W3CDTF">2026-03-01T15:03:13Z</dcterms:created>
  <dcterms:modified xsi:type="dcterms:W3CDTF">2026-03-08T00:02:59Z</dcterms:modified>
  <cp:category/>
  <cp:contentStatus/>
</cp:coreProperties>
</file>